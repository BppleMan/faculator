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2dee175b3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8d82c6325f44465"/>
    <x:sheet xmlns:r="http://schemas.openxmlformats.org/officeDocument/2006/relationships" name="基础配方" sheetId="2" r:id="R32afd48c084a47c5"/>
    <x:sheet xmlns:r="http://schemas.openxmlformats.org/officeDocument/2006/relationships" name="参数" sheetId="3" r:id="R87ab0a358e42471d"/>
    <x:sheet xmlns:r="http://schemas.openxmlformats.org/officeDocument/2006/relationships" name="白板红瓶60" sheetId="4" r:id="Rd129250eebd64dd9"/>
    <x:sheet xmlns:r="http://schemas.openxmlformats.org/officeDocument/2006/relationships" name="约束说明" sheetId="5" r:id="Rdc43493387944832"/>
    <x:sheet xmlns:r="http://schemas.openxmlformats.org/officeDocument/2006/relationships" name="品质矩阵" sheetId="6" r:id="R1b3207ad40f6458b"/>
    <x:sheet xmlns:r="http://schemas.openxmlformats.org/officeDocument/2006/relationships" name="完整矩阵_无回收" sheetId="7" r:id="R86485560fe8c4580"/>
    <x:sheet xmlns:r="http://schemas.openxmlformats.org/officeDocument/2006/relationships" name="完整矩阵_带回收" sheetId="8" r:id="Rddcb01fcdea5453a"/>
    <x:sheet xmlns:r="http://schemas.openxmlformats.org/officeDocument/2006/relationships" name="可行解_无回收" sheetId="9" r:id="R1e848599fa9d4f93"/>
    <x:sheet xmlns:r="http://schemas.openxmlformats.org/officeDocument/2006/relationships" name="可行解_带回收" sheetId="10" r:id="Rdd951722a7b146bd"/>
    <x:sheet xmlns:r="http://schemas.openxmlformats.org/officeDocument/2006/relationships" name="机器换算_无回收" sheetId="11" r:id="R3024f32b463e49f6"/>
    <x:sheet xmlns:r="http://schemas.openxmlformats.org/officeDocument/2006/relationships" name="机器换算_带回收" sheetId="12" r:id="Rb13b66fe2607419b"/>
    <x:sheet xmlns:r="http://schemas.openxmlformats.org/officeDocument/2006/relationships" name="校验总览" sheetId="13" r:id="Rb1df9ab9347b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0"/>
  </x:numFmts>
  <x:fonts count="4">
    <x:font>
      <x:sz val="11"/>
      <x:name val="Carlito"/>
    </x:font>
    <x:font>
      <x:b/>
      <x:sz val="16"/>
      <x:color rgb="FF1F2937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2" xfId="0" applyNumberFormat="1" applyFont="1" applyFill="0" applyBorder="1"/>
    <x:xf numFmtId="0" fontId="3" borderId="2" xfId="0" applyNumberFormat="1" applyFont="1" applyFill="0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3" borderId="2" xfId="0" applyNumberFormat="1" applyFont="1" applyFill="0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5ffec722d40ff" /><Relationship Type="http://schemas.openxmlformats.org/officeDocument/2006/relationships/theme" Target="/xl/theme/theme1.xml" Id="Rbd53f68be6f2435a" /><Relationship Type="http://schemas.openxmlformats.org/officeDocument/2006/relationships/sharedStrings" Target="/xl/sharedStrings.xml" Id="R17dc813102ac452c" /><Relationship Type="http://schemas.openxmlformats.org/officeDocument/2006/relationships/worksheet" Target="/xl/worksheets/sheet1.xml" Id="R68d82c6325f44465" /><Relationship Type="http://schemas.openxmlformats.org/officeDocument/2006/relationships/worksheet" Target="/xl/worksheets/sheet2.xml" Id="R32afd48c084a47c5" /><Relationship Type="http://schemas.openxmlformats.org/officeDocument/2006/relationships/worksheet" Target="/xl/worksheets/sheet3.xml" Id="R87ab0a358e42471d" /><Relationship Type="http://schemas.openxmlformats.org/officeDocument/2006/relationships/worksheet" Target="/xl/worksheets/sheet4.xml" Id="Rd129250eebd64dd9" /><Relationship Type="http://schemas.openxmlformats.org/officeDocument/2006/relationships/worksheet" Target="/xl/worksheets/sheet5.xml" Id="Rdc43493387944832" /><Relationship Type="http://schemas.openxmlformats.org/officeDocument/2006/relationships/worksheet" Target="/xl/worksheets/sheet6.xml" Id="R1b3207ad40f6458b" /><Relationship Type="http://schemas.openxmlformats.org/officeDocument/2006/relationships/worksheet" Target="/xl/worksheets/sheet7.xml" Id="R86485560fe8c4580" /><Relationship Type="http://schemas.openxmlformats.org/officeDocument/2006/relationships/worksheet" Target="/xl/worksheets/sheet8.xml" Id="Rddcb01fcdea5453a" /><Relationship Type="http://schemas.openxmlformats.org/officeDocument/2006/relationships/worksheet" Target="/xl/worksheets/sheet9.xml" Id="R1e848599fa9d4f93" /><Relationship Type="http://schemas.openxmlformats.org/officeDocument/2006/relationships/worksheet" Target="/xl/worksheets/sheet10.xml" Id="Rdd951722a7b146bd" /><Relationship Type="http://schemas.openxmlformats.org/officeDocument/2006/relationships/worksheet" Target="/xl/worksheets/sheet11.xml" Id="R3024f32b463e49f6" /><Relationship Type="http://schemas.openxmlformats.org/officeDocument/2006/relationships/worksheet" Target="/xl/worksheets/sheet12.xml" Id="Rb13b66fe2607419b" /><Relationship Type="http://schemas.openxmlformats.org/officeDocument/2006/relationships/worksheet" Target="/xl/worksheets/sheet13.xml" Id="Rb1df9ab9347b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68.88999938964844" hidden="0" customWidth="1"/>
  </x:cols>
  <x:sheetData>
    <x:row r="1">
      <x:c r="A1" s="1" t="str">
        <x:v>红瓶品质线性规划基准</x:v>
      </x:c>
    </x:row>
    <x:row r="2">
      <x:c r="A2" s="2" t="str">
        <x:v>本工作簿是建模基准资产：完整矩阵展开、参数、可行解和校验。</x:v>
      </x:c>
    </x:row>
    <x:row r="5">
      <x:c r="A5" s="4" t="str">
        <x:v>主目标</x:v>
      </x:c>
      <x:c r="B5" s="4" t="str">
        <x:v>红瓶@5 &gt;= 60/min</x:v>
      </x:c>
    </x:row>
    <x:row r="6">
      <x:c r="A6" s="4" t="str">
        <x:v>求解口径</x:v>
      </x:c>
      <x:c r="B6" s="4" t="str">
        <x:v>只要求给出满足目标且不短缺下游进料的一组可行解；机器数是后处理，不声明 MILP 全局最优。</x:v>
      </x:c>
    </x:row>
    <x:row r="7">
      <x:c r="A7" s="4" t="str">
        <x:v>物料单位</x:v>
      </x:c>
      <x:c r="B7" s="4" t="str">
        <x:v>物品@星级，例如 红瓶@5。</x:v>
      </x:c>
    </x:row>
    <x:row r="8">
      <x:c r="A8" s="4" t="str">
        <x:v>矩阵行</x:v>
      </x:c>
      <x:c r="B8" s="4" t="str">
        <x:v>物料@星级</x:v>
      </x:c>
    </x:row>
    <x:row r="9">
      <x:c r="A9" s="4" t="str">
        <x:v>矩阵列</x:v>
      </x:c>
      <x:c r="B9" s="4" t="str">
        <x:v>配置后的过程，例如 造红瓶@3。</x:v>
      </x:c>
    </x:row>
    <x:row r="10">
      <x:c r="A10" s="4" t="str">
        <x:v>完整矩阵</x:v>
      </x:c>
      <x:c r="B10" s="4" t="str">
        <x:v>见“完整矩阵_无回收”和“完整矩阵_带回收”。</x:v>
      </x:c>
    </x:row>
    <x:row r="11">
      <x:c r="A11" s="4" t="str">
        <x:v>机器换算</x:v>
      </x:c>
      <x:c r="B11" s="4" t="str">
        <x:v>见“机器换算_无回收”和“机器换算_带回收”。</x:v>
      </x:c>
    </x:row>
    <x:row r="12">
      <x:c r="A12" s="4" t="str">
        <x:v>校验总览</x:v>
      </x:c>
      <x:c r="B12" s="4" t="str">
        <x:v>见“校验总览”。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8.889999389648438" hidden="0" customWidth="1"/>
    <x:col min="3" max="3" width="8.890000343322754" hidden="0" customWidth="1"/>
    <x:col min="4" max="4" width="13.329999923706055" hidden="0" customWidth="1"/>
  </x:cols>
  <x:sheetData>
    <x:row r="1">
      <x:c r="A1" s="1" t="str">
        <x:v>基础配方</x:v>
      </x:c>
    </x:row>
    <x:row r="2">
      <x:c r="A2" s="2" t="str">
        <x:v>只描述游戏工艺，不包含机器速度或插件槽位。</x:v>
      </x:c>
    </x:row>
    <x:row r="5">
      <x:c r="A5" s="8" t="str">
        <x:v>过程</x:v>
      </x:c>
      <x:c r="B5" s="8" t="str">
        <x:v>输入</x:v>
      </x:c>
      <x:c r="C5" s="8" t="str">
        <x:v>耗时秒</x:v>
      </x:c>
      <x:c r="D5" s="8" t="str">
        <x:v>输出</x:v>
      </x:c>
    </x:row>
    <x:row r="6">
      <x:c r="A6" s="4" t="str">
        <x:v>红瓶制作</x:v>
      </x:c>
      <x:c r="B6" s="4" t="str">
        <x:v>1 铜板 + 1 齿轮</x:v>
      </x:c>
      <x:c r="C6" s="4" t="n">
        <x:v>5</x:v>
      </x:c>
      <x:c r="D6" s="4" t="str">
        <x:v>1 红瓶</x:v>
      </x:c>
    </x:row>
    <x:row r="7">
      <x:c r="A7" s="4" t="str">
        <x:v>齿轮制作</x:v>
      </x:c>
      <x:c r="B7" s="4" t="str">
        <x:v>2 铁板</x:v>
      </x:c>
      <x:c r="C7" s="4" t="n">
        <x:v>0.5</x:v>
      </x:c>
      <x:c r="D7" s="4" t="str">
        <x:v>1 齿轮</x:v>
      </x:c>
    </x:row>
    <x:row r="8">
      <x:c r="A8" s="4" t="str">
        <x:v>铜板冶炼</x:v>
      </x:c>
      <x:c r="B8" s="4" t="str">
        <x:v>1 铜矿</x:v>
      </x:c>
      <x:c r="C8" s="4" t="n">
        <x:v>3.2</x:v>
      </x:c>
      <x:c r="D8" s="4" t="str">
        <x:v>1 铜板</x:v>
      </x:c>
    </x:row>
    <x:row r="9">
      <x:c r="A9" s="4" t="str">
        <x:v>铁板冶炼</x:v>
      </x:c>
      <x:c r="B9" s="4" t="str">
        <x:v>1 铁矿</x:v>
      </x:c>
      <x:c r="C9" s="4" t="n">
        <x:v>3.2</x:v>
      </x:c>
      <x:c r="D9" s="4" t="str">
        <x:v>1 铁板</x:v>
      </x:c>
    </x:row>
    <x:row r="10">
      <x:c r="A10" s="4" t="str">
        <x:v>铜矿采集</x:v>
      </x:c>
      <x:c r="B10" s="4" t="str">
        <x:v>铜矿区</x:v>
      </x:c>
      <x:c r="C10" s="4" t="n">
        <x:v>1</x:v>
      </x:c>
      <x:c r="D10" s="4" t="str">
        <x:v>1 铜矿</x:v>
      </x:c>
    </x:row>
    <x:row r="11">
      <x:c r="A11" s="4" t="str">
        <x:v>铁矿采集</x:v>
      </x:c>
      <x:c r="B11" s="4" t="str">
        <x:v>铁矿区</x:v>
      </x:c>
      <x:c r="C11" s="4" t="n">
        <x:v>1</x:v>
      </x:c>
      <x:c r="D11" s="4" t="str">
        <x:v>1 铁矿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0" hidden="0" customWidth="1"/>
    <x:col min="3" max="3" width="13.109999656677246" hidden="0" customWidth="1"/>
    <x:col min="4" max="4" width="12.220000267028809" hidden="0" customWidth="1"/>
    <x:col min="5" max="5" width="40" hidden="0" customWidth="1"/>
  </x:cols>
  <x:sheetData>
    <x:row r="1">
      <x:c r="A1" s="1" t="str">
        <x:v>参数</x:v>
      </x:c>
    </x:row>
    <x:row r="2">
      <x:c r="A2" s="2" t="str">
        <x:v>本算例使用传说品质插件 3，单个升星率 6.2%。</x:v>
      </x:c>
    </x:row>
    <x:row r="5">
      <x:c r="A5" s="8" t="str">
        <x:v>配置项</x:v>
      </x:c>
      <x:c r="B5" s="8" t="str">
        <x:v>槽位</x:v>
      </x:c>
      <x:c r="C5" s="8" t="str">
        <x:v>单插件升星率</x:v>
      </x:c>
      <x:c r="D5" s="8" t="str">
        <x:v>总升星率</x:v>
      </x:c>
    </x:row>
    <x:row r="6">
      <x:c r="A6" s="4" t="str">
        <x:v>电力采矿机</x:v>
      </x:c>
      <x:c r="B6" s="4" t="n">
        <x:v>3</x:v>
      </x:c>
      <x:c r="C6" s="9" t="n">
        <x:v>0.062</x:v>
      </x:c>
      <x:c r="D6" s="9" t="n">
        <x:v>0.186</x:v>
      </x:c>
    </x:row>
    <x:row r="7">
      <x:c r="A7" s="4" t="str">
        <x:v>电炉</x:v>
      </x:c>
      <x:c r="B7" s="4" t="n">
        <x:v>2</x:v>
      </x:c>
      <x:c r="C7" s="9" t="n">
        <x:v>0.062</x:v>
      </x:c>
      <x:c r="D7" s="9" t="n">
        <x:v>0.124</x:v>
      </x:c>
    </x:row>
    <x:row r="8">
      <x:c r="A8" s="4" t="str">
        <x:v>组装机 3 型</x:v>
      </x:c>
      <x:c r="B8" s="4" t="n">
        <x:v>4</x:v>
      </x:c>
      <x:c r="C8" s="9" t="n">
        <x:v>0.062</x:v>
      </x:c>
      <x:c r="D8" s="9" t="n">
        <x:v>0.248</x:v>
      </x:c>
    </x:row>
    <x:row r="9">
      <x:c r="A9" s="4" t="str">
        <x:v>回收机</x:v>
      </x:c>
      <x:c r="B9" s="4" t="n">
        <x:v>4</x:v>
      </x:c>
      <x:c r="C9" s="9" t="n">
        <x:v>0.062</x:v>
      </x:c>
      <x:c r="D9" s="9" t="n">
        <x:v>0.248</x:v>
      </x:c>
    </x:row>
    <x:row r="11">
      <x:c r="A11" s="8" t="str">
        <x:v>派生参数</x:v>
      </x:c>
      <x:c r="B11" s="8" t="str">
        <x:v>值</x:v>
      </x:c>
      <x:c r="C11" s="8" t="str">
        <x:v>说明</x:v>
      </x:c>
    </x:row>
    <x:row r="12">
      <x:c r="A12" s="4" t="str">
        <x:v>单个品质插件速度惩罚</x:v>
      </x:c>
      <x:c r="B12" s="10" t="n">
        <x:v>-0.05</x:v>
      </x:c>
      <x:c r="C12" s="4" t="str">
        <x:v>每个品质插件速度 -5%；本算例所有插槽都使用品质插件。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3.329999923706055" hidden="0" customWidth="1"/>
    <x:col min="3" max="3" width="3.109999895095825" hidden="0" customWidth="1"/>
    <x:col min="4" max="4" width="3.109999895095825" hidden="0" customWidth="1"/>
    <x:col min="5" max="5" width="10" hidden="0" customWidth="1"/>
    <x:col min="6" max="6" width="11.109999656677246" hidden="0" customWidth="1"/>
  </x:cols>
  <x:sheetData>
    <x:row r="1">
      <x:c r="A1" s="1" t="str">
        <x:v>红瓶@1 60/min</x:v>
      </x:c>
    </x:row>
    <x:row r="2">
      <x:c r="A2" s="2" t="str">
        <x:v>无品质模块、无回收的白板基准。</x:v>
      </x:c>
    </x:row>
    <x:row r="5">
      <x:c r="A5" s="8" t="str">
        <x:v>过程</x:v>
      </x:c>
      <x:c r="B5" s="8" t="str">
        <x:v>执行次数/分钟</x:v>
      </x:c>
      <x:c r="E5" s="8" t="str">
        <x:v>物料</x:v>
      </x:c>
      <x:c r="F5" s="8" t="str">
        <x:v>目标/平衡</x:v>
      </x:c>
    </x:row>
    <x:row r="6">
      <x:c r="A6" s="4" t="str">
        <x:v>采铜矿</x:v>
      </x:c>
      <x:c r="B6" s="4" t="n">
        <x:v>60</x:v>
      </x:c>
      <x:c r="E6" s="4" t="str">
        <x:v>铜矿@1</x:v>
      </x:c>
      <x:c r="F6" s="4" t="n">
        <x:v>0</x:v>
      </x:c>
    </x:row>
    <x:row r="7">
      <x:c r="A7" s="4" t="str">
        <x:v>采铁矿</x:v>
      </x:c>
      <x:c r="B7" s="4" t="n">
        <x:v>120</x:v>
      </x:c>
      <x:c r="E7" s="4" t="str">
        <x:v>铁矿@1</x:v>
      </x:c>
      <x:c r="F7" s="4" t="n">
        <x:v>0</x:v>
      </x:c>
    </x:row>
    <x:row r="8">
      <x:c r="A8" s="4" t="str">
        <x:v>冶铜板</x:v>
      </x:c>
      <x:c r="B8" s="4" t="n">
        <x:v>60</x:v>
      </x:c>
      <x:c r="E8" s="4" t="str">
        <x:v>铜板@1</x:v>
      </x:c>
      <x:c r="F8" s="4" t="n">
        <x:v>0</x:v>
      </x:c>
    </x:row>
    <x:row r="9">
      <x:c r="A9" s="4" t="str">
        <x:v>冶铁板</x:v>
      </x:c>
      <x:c r="B9" s="4" t="n">
        <x:v>120</x:v>
      </x:c>
      <x:c r="E9" s="4" t="str">
        <x:v>铁板@1</x:v>
      </x:c>
      <x:c r="F9" s="4" t="n">
        <x:v>0</x:v>
      </x:c>
    </x:row>
    <x:row r="10">
      <x:c r="A10" s="4" t="str">
        <x:v>造齿轮</x:v>
      </x:c>
      <x:c r="B10" s="4" t="n">
        <x:v>60</x:v>
      </x:c>
      <x:c r="E10" s="4" t="str">
        <x:v>齿轮@1</x:v>
      </x:c>
      <x:c r="F10" s="4" t="n">
        <x:v>0</x:v>
      </x:c>
    </x:row>
    <x:row r="11">
      <x:c r="A11" s="4" t="str">
        <x:v>造红瓶</x:v>
      </x:c>
      <x:c r="B11" s="4" t="n">
        <x:v>60</x:v>
      </x:c>
      <x:c r="E11" s="4" t="str">
        <x:v>红瓶@1</x:v>
      </x:c>
      <x:c r="F11" s="4" t="n">
        <x:v>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8.889999389648438" hidden="0" customWidth="1"/>
    <x:col min="3" max="3" width="57.779998779296875" hidden="0" customWidth="1"/>
  </x:cols>
  <x:sheetData>
    <x:row r="1">
      <x:c r="A1" s="1" t="str">
        <x:v>约束说明</x:v>
      </x:c>
    </x:row>
    <x:row r="2">
      <x:c r="A2" s="2" t="str">
        <x:v>把本工作簿到底在求什么、允许什么、不允许什么固定下来。</x:v>
      </x:c>
    </x:row>
    <x:row r="5">
      <x:c r="A5" s="8" t="str">
        <x:v>约束项</x:v>
      </x:c>
      <x:c r="B5" s="8" t="str">
        <x:v>口径</x:v>
      </x:c>
      <x:c r="C5" s="8" t="str">
        <x:v>说明</x:v>
      </x:c>
    </x:row>
    <x:row r="6">
      <x:c r="A6" s="4" t="str">
        <x:v>主目标</x:v>
      </x:c>
      <x:c r="B6" s="4" t="str">
        <x:v>红瓶@5 &gt;= 60/min</x:v>
      </x:c>
      <x:c r="C6" s="4" t="str">
        <x:v>这是唯一外部目标；不存在其它子目标。</x:v>
      </x:c>
    </x:row>
    <x:row r="7">
      <x:c r="A7" s="4" t="str">
        <x:v>未知数</x:v>
      </x:c>
      <x:c r="B7" s="4" t="str">
        <x:v>过程执行次数/分钟</x:v>
      </x:c>
      <x:c r="C7" s="4" t="str">
        <x:v>LP 首先求每个配置后过程每分钟执行多少次，不直接求机器整数。</x:v>
      </x:c>
    </x:row>
    <x:row r="8">
      <x:c r="A8" s="4" t="str">
        <x:v>中间物</x:v>
      </x:c>
      <x:c r="B8" s="4" t="str">
        <x:v>不允许短缺</x:v>
      </x:c>
      <x:c r="C8" s="4" t="str">
        <x:v>上游平衡产出必须覆盖下游输入需求。</x:v>
      </x:c>
    </x:row>
    <x:row r="9">
      <x:c r="A9" s="4" t="str">
        <x:v>剩余物</x:v>
      </x:c>
      <x:c r="B9" s="4" t="str">
        <x:v>允许剩余</x:v>
      </x:c>
      <x:c r="C9" s="4" t="str">
        <x:v>剩余代表副产物或未截流物料；只有短缺才使当前解不可用。</x:v>
      </x:c>
    </x:row>
    <x:row r="10">
      <x:c r="A10" s="4" t="str">
        <x:v>无回收场景</x:v>
      </x:c>
      <x:c r="B10" s="4" t="str">
        <x:v>红瓶@1..@4 允许剩余</x:v>
      </x:c>
      <x:c r="C10" s="4" t="str">
        <x:v>低星红瓶留作副产物，不强制消纳。</x:v>
      </x:c>
    </x:row>
    <x:row r="11">
      <x:c r="A11" s="4" t="str">
        <x:v>带回收场景</x:v>
      </x:c>
      <x:c r="B11" s="4" t="str">
        <x:v>红瓶@1..@4 接入回收闭环</x:v>
      </x:c>
      <x:c r="C11" s="4" t="str">
        <x:v>回收过程本身也是矩阵列；回收损耗和升星概率都体现在系数里。</x:v>
      </x:c>
    </x:row>
    <x:row r="12">
      <x:c r="A12" s="4" t="str">
        <x:v>机器数</x:v>
      </x:c>
      <x:c r="B12" s="4" t="str">
        <x:v>从过程执行率后处理</x:v>
      </x:c>
      <x:c r="C12" s="4" t="str">
        <x:v>理论机器数 = 过程执行次数 / 单机执行率；实际蓝图可向上取整。</x:v>
      </x:c>
    </x:row>
    <x:row r="13">
      <x:c r="A13" s="4" t="str">
        <x:v>整数机器</x:v>
      </x:c>
      <x:c r="B13" s="4" t="str">
        <x:v>本表不声明 MILP 全局最小整数机器</x:v>
      </x:c>
      <x:c r="C13" s="4" t="str">
        <x:v>当前表格给出连续 LP 口径下的可行解，并展示 ceil 后处理结果。</x:v>
      </x:c>
    </x:row>
    <x:row r="14">
      <x:c r="A14" s="4" t="str">
        <x:v>蓝图优化</x:v>
      </x:c>
      <x:c r="B14" s="4" t="str">
        <x:v>不作为目标</x:v>
      </x:c>
      <x:c r="C14" s="4" t="str">
        <x:v>本工具关心满足目标且不短缺的产线配平，不替蓝图作者选择布局或截流策略。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1" t="str">
        <x:v>品质矩阵</x:v>
      </x:c>
    </x:row>
    <x:row r="2">
      <x:c r="A2" s="2" t="str">
        <x:v>列是输入星级，行是输出星级。</x:v>
      </x:c>
    </x:row>
    <x:row r="5">
      <x:c r="A5" s="8" t="str">
        <x:v>矩阵</x:v>
      </x:c>
      <x:c r="B5" s="8" t="str">
        <x:v>升星率</x:v>
      </x:c>
      <x:c r="C5" s="8" t="str">
        <x:v>输出\输入</x:v>
      </x:c>
      <x:c r="D5" s="8" t="str">
        <x:v>@1</x:v>
      </x:c>
      <x:c r="E5" s="8" t="str">
        <x:v>@2</x:v>
      </x:c>
      <x:c r="F5" s="8" t="str">
        <x:v>@3</x:v>
      </x:c>
      <x:c r="G5" s="8" t="str">
        <x:v>@4</x:v>
      </x:c>
      <x:c r="H5" s="8" t="str">
        <x:v>@5</x:v>
      </x:c>
    </x:row>
    <x:row r="6">
      <x:c r="A6" s="4" t="str">
        <x:v>采矿矩阵</x:v>
      </x:c>
      <x:c r="B6" s="9" t="n">
        <x:v>0.186</x:v>
      </x:c>
      <x:c r="C6" s="9" t="str">
        <x:v>@1</x:v>
      </x:c>
      <x:c r="D6" s="9" t="n">
        <x:v>0.814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</x:row>
    <x:row r="7">
      <x:c r="A7" s="4" t="str">
        <x:v>采矿矩阵</x:v>
      </x:c>
      <x:c r="B7" s="9" t="n">
        <x:v>0.186</x:v>
      </x:c>
      <x:c r="C7" s="9" t="str">
        <x:v>@2</x:v>
      </x:c>
      <x:c r="D7" s="9" t="n">
        <x:v>0.1674</x:v>
      </x:c>
      <x:c r="E7" s="9" t="n">
        <x:v>0.814</x:v>
      </x:c>
      <x:c r="F7" s="9" t="n">
        <x:v>0</x:v>
      </x:c>
      <x:c r="G7" s="9" t="n">
        <x:v>0</x:v>
      </x:c>
      <x:c r="H7" s="9" t="n">
        <x:v>0</x:v>
      </x:c>
    </x:row>
    <x:row r="8">
      <x:c r="A8" s="4" t="str">
        <x:v>采矿矩阵</x:v>
      </x:c>
      <x:c r="B8" s="9" t="n">
        <x:v>0.186</x:v>
      </x:c>
      <x:c r="C8" s="9" t="str">
        <x:v>@3</x:v>
      </x:c>
      <x:c r="D8" s="9" t="n">
        <x:v>0.01674</x:v>
      </x:c>
      <x:c r="E8" s="9" t="n">
        <x:v>0.1674</x:v>
      </x:c>
      <x:c r="F8" s="9" t="n">
        <x:v>0.814</x:v>
      </x:c>
      <x:c r="G8" s="9" t="n">
        <x:v>0</x:v>
      </x:c>
      <x:c r="H8" s="9" t="n">
        <x:v>0</x:v>
      </x:c>
    </x:row>
    <x:row r="9">
      <x:c r="A9" s="4" t="str">
        <x:v>采矿矩阵</x:v>
      </x:c>
      <x:c r="B9" s="9" t="n">
        <x:v>0.186</x:v>
      </x:c>
      <x:c r="C9" s="9" t="str">
        <x:v>@4</x:v>
      </x:c>
      <x:c r="D9" s="9" t="n">
        <x:v>0.001674</x:v>
      </x:c>
      <x:c r="E9" s="9" t="n">
        <x:v>0.01674</x:v>
      </x:c>
      <x:c r="F9" s="9" t="n">
        <x:v>0.1674</x:v>
      </x:c>
      <x:c r="G9" s="9" t="n">
        <x:v>0.814</x:v>
      </x:c>
      <x:c r="H9" s="9" t="n">
        <x:v>0</x:v>
      </x:c>
    </x:row>
    <x:row r="10">
      <x:c r="A10" s="4" t="str">
        <x:v>采矿矩阵</x:v>
      </x:c>
      <x:c r="B10" s="9" t="n">
        <x:v>0.186</x:v>
      </x:c>
      <x:c r="C10" s="9" t="str">
        <x:v>@5</x:v>
      </x:c>
      <x:c r="D10" s="9" t="n">
        <x:v>0.000186</x:v>
      </x:c>
      <x:c r="E10" s="9" t="n">
        <x:v>0.00186</x:v>
      </x:c>
      <x:c r="F10" s="9" t="n">
        <x:v>0.0186</x:v>
      </x:c>
      <x:c r="G10" s="9" t="n">
        <x:v>0.186</x:v>
      </x:c>
      <x:c r="H10" s="9" t="n">
        <x:v>1</x:v>
      </x:c>
    </x:row>
    <x:row r="13">
      <x:c r="A13" s="8" t="str">
        <x:v>矩阵</x:v>
      </x:c>
      <x:c r="B13" s="8" t="str">
        <x:v>升星率</x:v>
      </x:c>
      <x:c r="C13" s="8" t="str">
        <x:v>输出\输入</x:v>
      </x:c>
      <x:c r="D13" s="8" t="str">
        <x:v>@1</x:v>
      </x:c>
      <x:c r="E13" s="8" t="str">
        <x:v>@2</x:v>
      </x:c>
      <x:c r="F13" s="8" t="str">
        <x:v>@3</x:v>
      </x:c>
      <x:c r="G13" s="8" t="str">
        <x:v>@4</x:v>
      </x:c>
      <x:c r="H13" s="8" t="str">
        <x:v>@5</x:v>
      </x:c>
    </x:row>
    <x:row r="14">
      <x:c r="A14" s="4" t="str">
        <x:v>冶炼矩阵</x:v>
      </x:c>
      <x:c r="B14" s="9" t="n">
        <x:v>0.124</x:v>
      </x:c>
      <x:c r="C14" s="9" t="str">
        <x:v>@1</x:v>
      </x:c>
      <x:c r="D14" s="9" t="n">
        <x:v>0.876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</x:row>
    <x:row r="15">
      <x:c r="A15" s="4" t="str">
        <x:v>冶炼矩阵</x:v>
      </x:c>
      <x:c r="B15" s="9" t="n">
        <x:v>0.124</x:v>
      </x:c>
      <x:c r="C15" s="9" t="str">
        <x:v>@2</x:v>
      </x:c>
      <x:c r="D15" s="9" t="n">
        <x:v>0.1116</x:v>
      </x:c>
      <x:c r="E15" s="9" t="n">
        <x:v>0.876</x:v>
      </x:c>
      <x:c r="F15" s="9" t="n">
        <x:v>0</x:v>
      </x:c>
      <x:c r="G15" s="9" t="n">
        <x:v>0</x:v>
      </x:c>
      <x:c r="H15" s="9" t="n">
        <x:v>0</x:v>
      </x:c>
    </x:row>
    <x:row r="16">
      <x:c r="A16" s="4" t="str">
        <x:v>冶炼矩阵</x:v>
      </x:c>
      <x:c r="B16" s="9" t="n">
        <x:v>0.124</x:v>
      </x:c>
      <x:c r="C16" s="9" t="str">
        <x:v>@3</x:v>
      </x:c>
      <x:c r="D16" s="9" t="n">
        <x:v>0.01116</x:v>
      </x:c>
      <x:c r="E16" s="9" t="n">
        <x:v>0.1116</x:v>
      </x:c>
      <x:c r="F16" s="9" t="n">
        <x:v>0.876</x:v>
      </x:c>
      <x:c r="G16" s="9" t="n">
        <x:v>0</x:v>
      </x:c>
      <x:c r="H16" s="9" t="n">
        <x:v>0</x:v>
      </x:c>
    </x:row>
    <x:row r="17">
      <x:c r="A17" s="4" t="str">
        <x:v>冶炼矩阵</x:v>
      </x:c>
      <x:c r="B17" s="9" t="n">
        <x:v>0.124</x:v>
      </x:c>
      <x:c r="C17" s="9" t="str">
        <x:v>@4</x:v>
      </x:c>
      <x:c r="D17" s="9" t="n">
        <x:v>0.001116</x:v>
      </x:c>
      <x:c r="E17" s="9" t="n">
        <x:v>0.01116</x:v>
      </x:c>
      <x:c r="F17" s="9" t="n">
        <x:v>0.1116</x:v>
      </x:c>
      <x:c r="G17" s="9" t="n">
        <x:v>0.876</x:v>
      </x:c>
      <x:c r="H17" s="9" t="n">
        <x:v>0</x:v>
      </x:c>
    </x:row>
    <x:row r="18">
      <x:c r="A18" s="4" t="str">
        <x:v>冶炼矩阵</x:v>
      </x:c>
      <x:c r="B18" s="9" t="n">
        <x:v>0.124</x:v>
      </x:c>
      <x:c r="C18" s="9" t="str">
        <x:v>@5</x:v>
      </x:c>
      <x:c r="D18" s="9" t="n">
        <x:v>0.000124</x:v>
      </x:c>
      <x:c r="E18" s="9" t="n">
        <x:v>0.00124</x:v>
      </x:c>
      <x:c r="F18" s="9" t="n">
        <x:v>0.0124</x:v>
      </x:c>
      <x:c r="G18" s="9" t="n">
        <x:v>0.124</x:v>
      </x:c>
      <x:c r="H18" s="9" t="n">
        <x:v>1</x:v>
      </x:c>
    </x:row>
    <x:row r="21">
      <x:c r="A21" s="8" t="str">
        <x:v>矩阵</x:v>
      </x:c>
      <x:c r="B21" s="8" t="str">
        <x:v>升星率</x:v>
      </x:c>
      <x:c r="C21" s="8" t="str">
        <x:v>输出\输入</x:v>
      </x:c>
      <x:c r="D21" s="8" t="str">
        <x:v>@1</x:v>
      </x:c>
      <x:c r="E21" s="8" t="str">
        <x:v>@2</x:v>
      </x:c>
      <x:c r="F21" s="8" t="str">
        <x:v>@3</x:v>
      </x:c>
      <x:c r="G21" s="8" t="str">
        <x:v>@4</x:v>
      </x:c>
      <x:c r="H21" s="8" t="str">
        <x:v>@5</x:v>
      </x:c>
    </x:row>
    <x:row r="22">
      <x:c r="A22" s="4" t="str">
        <x:v>组装矩阵</x:v>
      </x:c>
      <x:c r="B22" s="9" t="n">
        <x:v>0.248</x:v>
      </x:c>
      <x:c r="C22" s="9" t="str">
        <x:v>@1</x:v>
      </x:c>
      <x:c r="D22" s="9" t="n">
        <x:v>0.752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</x:row>
    <x:row r="23">
      <x:c r="A23" s="4" t="str">
        <x:v>组装矩阵</x:v>
      </x:c>
      <x:c r="B23" s="9" t="n">
        <x:v>0.248</x:v>
      </x:c>
      <x:c r="C23" s="9" t="str">
        <x:v>@2</x:v>
      </x:c>
      <x:c r="D23" s="9" t="n">
        <x:v>0.2232</x:v>
      </x:c>
      <x:c r="E23" s="9" t="n">
        <x:v>0.752</x:v>
      </x:c>
      <x:c r="F23" s="9" t="n">
        <x:v>0</x:v>
      </x:c>
      <x:c r="G23" s="9" t="n">
        <x:v>0</x:v>
      </x:c>
      <x:c r="H23" s="9" t="n">
        <x:v>0</x:v>
      </x:c>
    </x:row>
    <x:row r="24">
      <x:c r="A24" s="4" t="str">
        <x:v>组装矩阵</x:v>
      </x:c>
      <x:c r="B24" s="9" t="n">
        <x:v>0.248</x:v>
      </x:c>
      <x:c r="C24" s="9" t="str">
        <x:v>@3</x:v>
      </x:c>
      <x:c r="D24" s="9" t="n">
        <x:v>0.02232</x:v>
      </x:c>
      <x:c r="E24" s="9" t="n">
        <x:v>0.2232</x:v>
      </x:c>
      <x:c r="F24" s="9" t="n">
        <x:v>0.752</x:v>
      </x:c>
      <x:c r="G24" s="9" t="n">
        <x:v>0</x:v>
      </x:c>
      <x:c r="H24" s="9" t="n">
        <x:v>0</x:v>
      </x:c>
    </x:row>
    <x:row r="25">
      <x:c r="A25" s="4" t="str">
        <x:v>组装矩阵</x:v>
      </x:c>
      <x:c r="B25" s="9" t="n">
        <x:v>0.248</x:v>
      </x:c>
      <x:c r="C25" s="9" t="str">
        <x:v>@4</x:v>
      </x:c>
      <x:c r="D25" s="9" t="n">
        <x:v>0.002232</x:v>
      </x:c>
      <x:c r="E25" s="9" t="n">
        <x:v>0.02232</x:v>
      </x:c>
      <x:c r="F25" s="9" t="n">
        <x:v>0.2232</x:v>
      </x:c>
      <x:c r="G25" s="9" t="n">
        <x:v>0.752</x:v>
      </x:c>
      <x:c r="H25" s="9" t="n">
        <x:v>0</x:v>
      </x:c>
    </x:row>
    <x:row r="26">
      <x:c r="A26" s="4" t="str">
        <x:v>组装矩阵</x:v>
      </x:c>
      <x:c r="B26" s="9" t="n">
        <x:v>0.248</x:v>
      </x:c>
      <x:c r="C26" s="9" t="str">
        <x:v>@5</x:v>
      </x:c>
      <x:c r="D26" s="9" t="n">
        <x:v>0.000248</x:v>
      </x:c>
      <x:c r="E26" s="9" t="n">
        <x:v>0.00248</x:v>
      </x:c>
      <x:c r="F26" s="9" t="n">
        <x:v>0.0248</x:v>
      </x:c>
      <x:c r="G26" s="9" t="n">
        <x:v>0.248</x:v>
      </x:c>
      <x:c r="H26" s="9" t="n">
        <x:v>1</x:v>
      </x:c>
    </x:row>
    <x:row r="29">
      <x:c r="A29" s="8" t="str">
        <x:v>矩阵</x:v>
      </x:c>
      <x:c r="B29" s="8" t="str">
        <x:v>升星率</x:v>
      </x:c>
      <x:c r="C29" s="8" t="str">
        <x:v>输出\输入</x:v>
      </x:c>
      <x:c r="D29" s="8" t="str">
        <x:v>@1</x:v>
      </x:c>
      <x:c r="E29" s="8" t="str">
        <x:v>@2</x:v>
      </x:c>
      <x:c r="F29" s="8" t="str">
        <x:v>@3</x:v>
      </x:c>
      <x:c r="G29" s="8" t="str">
        <x:v>@4</x:v>
      </x:c>
      <x:c r="H29" s="8" t="str">
        <x:v>@5</x:v>
      </x:c>
    </x:row>
    <x:row r="30">
      <x:c r="A30" s="4" t="str">
        <x:v>回收矩阵</x:v>
      </x:c>
      <x:c r="B30" s="9" t="n">
        <x:v>0.248</x:v>
      </x:c>
      <x:c r="C30" s="9" t="str">
        <x:v>@1</x:v>
      </x:c>
      <x:c r="D30" s="9" t="n">
        <x:v>0.752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</x:row>
    <x:row r="31">
      <x:c r="A31" s="4" t="str">
        <x:v>回收矩阵</x:v>
      </x:c>
      <x:c r="B31" s="9" t="n">
        <x:v>0.248</x:v>
      </x:c>
      <x:c r="C31" s="9" t="str">
        <x:v>@2</x:v>
      </x:c>
      <x:c r="D31" s="9" t="n">
        <x:v>0.2232</x:v>
      </x:c>
      <x:c r="E31" s="9" t="n">
        <x:v>0.752</x:v>
      </x:c>
      <x:c r="F31" s="9" t="n">
        <x:v>0</x:v>
      </x:c>
      <x:c r="G31" s="9" t="n">
        <x:v>0</x:v>
      </x:c>
      <x:c r="H31" s="9" t="n">
        <x:v>0</x:v>
      </x:c>
    </x:row>
    <x:row r="32">
      <x:c r="A32" s="4" t="str">
        <x:v>回收矩阵</x:v>
      </x:c>
      <x:c r="B32" s="9" t="n">
        <x:v>0.248</x:v>
      </x:c>
      <x:c r="C32" s="9" t="str">
        <x:v>@3</x:v>
      </x:c>
      <x:c r="D32" s="9" t="n">
        <x:v>0.02232</x:v>
      </x:c>
      <x:c r="E32" s="9" t="n">
        <x:v>0.2232</x:v>
      </x:c>
      <x:c r="F32" s="9" t="n">
        <x:v>0.752</x:v>
      </x:c>
      <x:c r="G32" s="9" t="n">
        <x:v>0</x:v>
      </x:c>
      <x:c r="H32" s="9" t="n">
        <x:v>0</x:v>
      </x:c>
    </x:row>
    <x:row r="33">
      <x:c r="A33" s="4" t="str">
        <x:v>回收矩阵</x:v>
      </x:c>
      <x:c r="B33" s="9" t="n">
        <x:v>0.248</x:v>
      </x:c>
      <x:c r="C33" s="9" t="str">
        <x:v>@4</x:v>
      </x:c>
      <x:c r="D33" s="9" t="n">
        <x:v>0.002232</x:v>
      </x:c>
      <x:c r="E33" s="9" t="n">
        <x:v>0.02232</x:v>
      </x:c>
      <x:c r="F33" s="9" t="n">
        <x:v>0.2232</x:v>
      </x:c>
      <x:c r="G33" s="9" t="n">
        <x:v>0.752</x:v>
      </x:c>
      <x:c r="H33" s="9" t="n">
        <x:v>0</x:v>
      </x:c>
    </x:row>
    <x:row r="34">
      <x:c r="A34" s="4" t="str">
        <x:v>回收矩阵</x:v>
      </x:c>
      <x:c r="B34" s="9" t="n">
        <x:v>0.248</x:v>
      </x:c>
      <x:c r="C34" s="9" t="str">
        <x:v>@5</x:v>
      </x:c>
      <x:c r="D34" s="9" t="n">
        <x:v>0.000248</x:v>
      </x:c>
      <x:c r="E34" s="9" t="n">
        <x:v>0.00248</x:v>
      </x:c>
      <x:c r="F34" s="9" t="n">
        <x:v>0.0248</x:v>
      </x:c>
      <x:c r="G34" s="9" t="n">
        <x:v>0.248</x:v>
      </x:c>
      <x:c r="H34" s="9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.109999656677246" hidden="0" customWidth="1"/>
    <x:col min="3" max="3" width="9.109999656677246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9.109999656677246" hidden="0" customWidth="1"/>
    <x:col min="14" max="14" width="9.109999656677246" hidden="0" customWidth="1"/>
    <x:col min="15" max="15" width="9.109999656677246" hidden="0" customWidth="1"/>
    <x:col min="16" max="16" width="9.109999656677246" hidden="0" customWidth="1"/>
    <x:col min="17" max="17" width="9.109999656677246" hidden="0" customWidth="1"/>
    <x:col min="18" max="18" width="9.109999656677246" hidden="0" customWidth="1"/>
    <x:col min="19" max="19" width="9.109999656677246" hidden="0" customWidth="1"/>
    <x:col min="20" max="20" width="9.109999656677246" hidden="0" customWidth="1"/>
    <x:col min="21" max="21" width="9.109999656677246" hidden="0" customWidth="1"/>
    <x:col min="22" max="22" width="9.109999656677246" hidden="0" customWidth="1"/>
    <x:col min="23" max="23" width="9.109999656677246" hidden="0" customWidth="1"/>
    <x:col min="24" max="24" width="9.109999656677246" hidden="0" customWidth="1"/>
    <x:col min="25" max="25" width="10.890000343322754" hidden="0" customWidth="1"/>
    <x:col min="26" max="26" width="10.890000343322754" hidden="0" customWidth="1"/>
    <x:col min="27" max="27" width="8.670000076293945" hidden="0" customWidth="1"/>
  </x:cols>
  <x:sheetData>
    <x:row r="1">
      <x:c r="A1" s="1" t="str">
        <x:v>完整矩阵_无回收</x:v>
      </x:c>
    </x:row>
    <x:row r="2">
      <x:c r="A2" s="2" t="str">
        <x:v>完整展开矩阵：行是物料@星级，列是配置后的过程。</x:v>
      </x:c>
    </x:row>
    <x:row r="4">
      <x:c r="A4" s="8" t="str">
        <x:v>物料行</x:v>
      </x:c>
      <x:c r="B4" s="8" t="str">
        <x:v>采铜矿</x:v>
      </x:c>
      <x:c r="C4" s="8" t="str">
        <x:v>采铁矿</x:v>
      </x:c>
      <x:c r="D4" s="8" t="str">
        <x:v>冶铜板@1</x:v>
      </x:c>
      <x:c r="E4" s="8" t="str">
        <x:v>冶铜板@2</x:v>
      </x:c>
      <x:c r="F4" s="8" t="str">
        <x:v>冶铜板@3</x:v>
      </x:c>
      <x:c r="G4" s="8" t="str">
        <x:v>冶铜板@4</x:v>
      </x:c>
      <x:c r="H4" s="8" t="str">
        <x:v>冶铜板@5</x:v>
      </x:c>
      <x:c r="I4" s="8" t="str">
        <x:v>冶铁板@1</x:v>
      </x:c>
      <x:c r="J4" s="8" t="str">
        <x:v>冶铁板@2</x:v>
      </x:c>
      <x:c r="K4" s="8" t="str">
        <x:v>冶铁板@3</x:v>
      </x:c>
      <x:c r="L4" s="8" t="str">
        <x:v>冶铁板@4</x:v>
      </x:c>
      <x:c r="M4" s="8" t="str">
        <x:v>冶铁板@5</x:v>
      </x:c>
      <x:c r="N4" s="8" t="str">
        <x:v>造齿轮@1</x:v>
      </x:c>
      <x:c r="O4" s="8" t="str">
        <x:v>造齿轮@2</x:v>
      </x:c>
      <x:c r="P4" s="8" t="str">
        <x:v>造齿轮@3</x:v>
      </x:c>
      <x:c r="Q4" s="8" t="str">
        <x:v>造齿轮@4</x:v>
      </x:c>
      <x:c r="R4" s="8" t="str">
        <x:v>造齿轮@5</x:v>
      </x:c>
      <x:c r="S4" s="8" t="str">
        <x:v>造红瓶@1</x:v>
      </x:c>
      <x:c r="T4" s="8" t="str">
        <x:v>造红瓶@2</x:v>
      </x:c>
      <x:c r="U4" s="8" t="str">
        <x:v>造红瓶@3</x:v>
      </x:c>
      <x:c r="V4" s="8" t="str">
        <x:v>造红瓶@4</x:v>
      </x:c>
      <x:c r="W4" s="8" t="str">
        <x:v>造红瓶@5</x:v>
      </x:c>
      <x:c r="X4" s="8" t="str">
        <x:v>右侧目标</x:v>
      </x:c>
      <x:c r="Y4" s="8" t="str">
        <x:v>可行解平衡</x:v>
      </x:c>
      <x:c r="Z4" s="8" t="str">
        <x:v>剩余/超额</x:v>
      </x:c>
      <x:c r="AA4" s="8" t="str">
        <x:v>是否短缺</x:v>
      </x:c>
    </x:row>
    <x:row r="5">
      <x:c r="A5" s="4" t="str">
        <x:v>铜矿@1</x:v>
      </x:c>
      <x:c r="B5" s="9" t="n">
        <x:v>0.814</x:v>
      </x:c>
      <x:c r="C5" s="9" t="n">
        <x:v>0</x:v>
      </x:c>
      <x:c r="D5" s="9" t="n">
        <x:v>-1</x:v>
      </x:c>
      <x:c r="E5" s="9" t="n">
        <x:v>0</x:v>
      </x:c>
      <x:c r="F5" s="9" t="n">
        <x:v>0</x:v>
      </x:c>
      <x:c r="G5" s="9" t="n">
        <x:v>0</x:v>
      </x:c>
      <x:c r="H5" s="9" t="n">
        <x:v>0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f>SUMPRODUCT(B5:W5,$B$36:$W$36)</x:f>
        <x:v>1.6189005691558123e-10</x:v>
      </x:c>
      <x:c r="Z5" s="9" t="n">
        <x:f>Y5-X5</x:f>
        <x:v>1.6189005691558123e-10</x:v>
      </x:c>
      <x:c r="AA5" s="4" t="str">
        <x:f>IF(Y5+1E-6&gt;=X5,"否","是")</x:f>
        <x:v>否</x:v>
      </x:c>
    </x:row>
    <x:row r="6">
      <x:c r="A6" s="4" t="str">
        <x:v>铜矿@2</x:v>
      </x:c>
      <x:c r="B6" s="9" t="n">
        <x:v>0.1674</x:v>
      </x:c>
      <x:c r="C6" s="9" t="n">
        <x:v>0</x:v>
      </x:c>
      <x:c r="D6" s="9" t="n">
        <x:v>0</x:v>
      </x:c>
      <x:c r="E6" s="9" t="n">
        <x:v>-1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f>SUMPRODUCT(B6:W6,$B$36:$W$36)</x:f>
        <x:v>-3.4560798667371273e-10</x:v>
      </x:c>
      <x:c r="Z6" s="9" t="n">
        <x:f>Y6-X6</x:f>
        <x:v>-3.4560798667371273e-10</x:v>
      </x:c>
      <x:c r="AA6" s="4" t="str">
        <x:f>IF(Y6+1E-6&gt;=X6,"否","是")</x:f>
        <x:v>否</x:v>
      </x:c>
    </x:row>
    <x:row r="7">
      <x:c r="A7" s="4" t="str">
        <x:v>铜矿@3</x:v>
      </x:c>
      <x:c r="B7" s="9" t="n">
        <x:v>0.01674</x:v>
      </x:c>
      <x:c r="C7" s="9" t="n">
        <x:v>0</x:v>
      </x:c>
      <x:c r="D7" s="9" t="n">
        <x:v>0</x:v>
      </x:c>
      <x:c r="E7" s="9" t="n">
        <x:v>0</x:v>
      </x:c>
      <x:c r="F7" s="9" t="n">
        <x:v>-1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f>SUMPRODUCT(B7:W7,$B$36:$W$36)</x:f>
        <x:v>-1.3454837244353257e-10</x:v>
      </x:c>
      <x:c r="Z7" s="9" t="n">
        <x:f>Y7-X7</x:f>
        <x:v>-1.3454837244353257e-10</x:v>
      </x:c>
      <x:c r="AA7" s="4" t="str">
        <x:f>IF(Y7+1E-6&gt;=X7,"否","是")</x:f>
        <x:v>否</x:v>
      </x:c>
    </x:row>
    <x:row r="8">
      <x:c r="A8" s="4" t="str">
        <x:v>铜矿@4</x:v>
      </x:c>
      <x:c r="B8" s="9" t="n">
        <x:v>0.001674</x:v>
      </x:c>
      <x:c r="C8" s="9" t="n">
        <x:v>0</x:v>
      </x:c>
      <x:c r="D8" s="9" t="n">
        <x:v>0</x:v>
      </x:c>
      <x:c r="E8" s="9" t="n">
        <x:v>0</x:v>
      </x:c>
      <x:c r="F8" s="9" t="n">
        <x:v>0</x:v>
      </x:c>
      <x:c r="G8" s="9" t="n">
        <x:v>-1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f>SUMPRODUCT(B8:W8,$B$36:$W$36)</x:f>
        <x:v>-1.3457679415296298e-11</x:v>
      </x:c>
      <x:c r="Z8" s="9" t="n">
        <x:f>Y8-X8</x:f>
        <x:v>-1.3457679415296298e-11</x:v>
      </x:c>
      <x:c r="AA8" s="4" t="str">
        <x:f>IF(Y8+1E-6&gt;=X8,"否","是")</x:f>
        <x:v>否</x:v>
      </x:c>
    </x:row>
    <x:row r="9">
      <x:c r="A9" s="4" t="str">
        <x:v>铜矿@5</x:v>
      </x:c>
      <x:c r="B9" s="9" t="n">
        <x:v>0.000186</x:v>
      </x:c>
      <x:c r="C9" s="9" t="n">
        <x:v>0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-1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f>SUMPRODUCT(B9:W9,$B$36:$W$36)</x:f>
        <x:v>3.3183811254389184e-10</x:v>
      </x:c>
      <x:c r="Z9" s="9" t="n">
        <x:f>Y9-X9</x:f>
        <x:v>3.3183811254389184e-10</x:v>
      </x:c>
      <x:c r="AA9" s="4" t="str">
        <x:f>IF(Y9+1E-6&gt;=X9,"否","是")</x:f>
        <x:v>否</x:v>
      </x:c>
    </x:row>
    <x:row r="10">
      <x:c r="A10" s="4" t="str">
        <x:v>铁矿@1</x:v>
      </x:c>
      <x:c r="B10" s="9" t="n">
        <x:v>0</x:v>
      </x:c>
      <x:c r="C10" s="9" t="n">
        <x:v>0.814</x:v>
      </x:c>
      <x:c r="D10" s="9" t="n">
        <x:v>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-1</x:v>
      </x:c>
      <x:c r="J10" s="9" t="n">
        <x:v>0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f>SUMPRODUCT(B10:W10,$B$36:$W$36)</x:f>
        <x:v>-1.0186340659856796e-10</x:v>
      </x:c>
      <x:c r="Z10" s="9" t="n">
        <x:f>Y10-X10</x:f>
        <x:v>-1.0186340659856796e-10</x:v>
      </x:c>
      <x:c r="AA10" s="4" t="str">
        <x:f>IF(Y10+1E-6&gt;=X10,"否","是")</x:f>
        <x:v>否</x:v>
      </x:c>
    </x:row>
    <x:row r="11">
      <x:c r="A11" s="4" t="str">
        <x:v>铁矿@2</x:v>
      </x:c>
      <x:c r="B11" s="9" t="n">
        <x:v>0</x:v>
      </x:c>
      <x:c r="C11" s="9" t="n">
        <x:v>0.1674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9" t="n">
        <x:v>-1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f>SUMPRODUCT(B11:W11,$B$36:$W$36)</x:f>
        <x:v>8.981260180007666e-11</x:v>
      </x:c>
      <x:c r="Z11" s="9" t="n">
        <x:f>Y11-X11</x:f>
        <x:v>8.981260180007666e-11</x:v>
      </x:c>
      <x:c r="AA11" s="4" t="str">
        <x:f>IF(Y11+1E-6&gt;=X11,"否","是")</x:f>
        <x:v>否</x:v>
      </x:c>
    </x:row>
    <x:row r="12">
      <x:c r="A12" s="4" t="str">
        <x:v>铁矿@3</x:v>
      </x:c>
      <x:c r="B12" s="9" t="n">
        <x:v>0</x:v>
      </x:c>
      <x:c r="C12" s="9" t="n">
        <x:v>0.01674</x:v>
      </x:c>
      <x:c r="D12" s="9" t="n">
        <x:v>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9" t="n">
        <x:v>-1</x:v>
      </x:c>
      <x:c r="L12" s="9" t="n">
        <x:v>0</x:v>
      </x:c>
      <x:c r="M12" s="9" t="n">
        <x:v>0</x:v>
      </x:c>
      <x:c r="N12" s="9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f>SUMPRODUCT(B12:W12,$B$36:$W$36)</x:f>
        <x:v>-2.9100988285790663e-10</x:v>
      </x:c>
      <x:c r="Z12" s="9" t="n">
        <x:f>Y12-X12</x:f>
        <x:v>-2.9100988285790663e-10</x:v>
      </x:c>
      <x:c r="AA12" s="4" t="str">
        <x:f>IF(Y12+1E-6&gt;=X12,"否","是")</x:f>
        <x:v>否</x:v>
      </x:c>
    </x:row>
    <x:row r="13">
      <x:c r="A13" s="4" t="str">
        <x:v>铁矿@4</x:v>
      </x:c>
      <x:c r="B13" s="9" t="n">
        <x:v>0</x:v>
      </x:c>
      <x:c r="C13" s="9" t="n">
        <x:v>0.001674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-1</x:v>
      </x:c>
      <x:c r="M13" s="9" t="n">
        <x:v>0</x:v>
      </x:c>
      <x:c r="N13" s="9" t="n">
        <x:v>0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f>SUMPRODUCT(B13:W13,$B$36:$W$36)</x:f>
        <x:v>-2.9100277743054903e-11</x:v>
      </x:c>
      <x:c r="Z13" s="9" t="n">
        <x:f>Y13-X13</x:f>
        <x:v>-2.9100277743054903e-11</x:v>
      </x:c>
      <x:c r="AA13" s="4" t="str">
        <x:f>IF(Y13+1E-6&gt;=X13,"否","是")</x:f>
        <x:v>否</x:v>
      </x:c>
    </x:row>
    <x:row r="14">
      <x:c r="A14" s="4" t="str">
        <x:v>铁矿@5</x:v>
      </x:c>
      <x:c r="B14" s="9" t="n">
        <x:v>0</x:v>
      </x:c>
      <x:c r="C14" s="9" t="n">
        <x:v>0.000186</x:v>
      </x:c>
      <x:c r="D14" s="9" t="n">
        <x:v>0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9" t="n">
        <x:v>-1</x:v>
      </x:c>
      <x:c r="N14" s="9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f>SUMPRODUCT(B14:W14,$B$36:$W$36)</x:f>
        <x:v>1.8933701303300998</x:v>
      </x:c>
      <x:c r="Z14" s="9" t="n">
        <x:f>Y14-X14</x:f>
        <x:v>1.8933701303300998</x:v>
      </x:c>
      <x:c r="AA14" s="4" t="str">
        <x:f>IF(Y14+1E-6&gt;=X14,"否","是")</x:f>
        <x:v>否</x:v>
      </x:c>
    </x:row>
    <x:row r="15">
      <x:c r="A15" s="4" t="str">
        <x:v>铜板@1</x:v>
      </x:c>
      <x:c r="B15" s="9" t="n">
        <x:v>0</x:v>
      </x:c>
      <x:c r="C15" s="9" t="n">
        <x:v>0</x:v>
      </x:c>
      <x:c r="D15" s="9" t="n">
        <x:v>0.876</x:v>
      </x:c>
      <x:c r="E15" s="9" t="n">
        <x:v>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-1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f>SUMPRODUCT(B15:W15,$B$36:$W$36)</x:f>
        <x:v>9717.343407644275</x:v>
      </x:c>
      <x:c r="Z15" s="9" t="n">
        <x:f>Y15-X15</x:f>
        <x:v>9717.343407644275</x:v>
      </x:c>
      <x:c r="AA15" s="4" t="str">
        <x:f>IF(Y15+1E-6&gt;=X15,"否","是")</x:f>
        <x:v>否</x:v>
      </x:c>
    </x:row>
    <x:row r="16">
      <x:c r="A16" s="4" t="str">
        <x:v>铜板@2</x:v>
      </x:c>
      <x:c r="B16" s="9" t="n">
        <x:v>0</x:v>
      </x:c>
      <x:c r="C16" s="9" t="n">
        <x:v>0</x:v>
      </x:c>
      <x:c r="D16" s="9" t="n">
        <x:v>0.1116</x:v>
      </x:c>
      <x:c r="E16" s="9" t="n">
        <x:v>0.876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-1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f>SUMPRODUCT(B16:W16,$B$36:$W$36)</x:f>
        <x:v>2426.288895880576</x:v>
      </x:c>
      <x:c r="Z16" s="9" t="n">
        <x:f>Y16-X16</x:f>
        <x:v>2426.288895880576</x:v>
      </x:c>
      <x:c r="AA16" s="4" t="str">
        <x:f>IF(Y16+1E-6&gt;=X16,"否","是")</x:f>
        <x:v>否</x:v>
      </x:c>
    </x:row>
    <x:row r="17">
      <x:c r="A17" s="4" t="str">
        <x:v>铜板@3</x:v>
      </x:c>
      <x:c r="B17" s="9" t="n">
        <x:v>0</x:v>
      </x:c>
      <x:c r="C17" s="9" t="n">
        <x:v>0</x:v>
      </x:c>
      <x:c r="D17" s="9" t="n">
        <x:v>0.01116</x:v>
      </x:c>
      <x:c r="E17" s="9" t="n">
        <x:v>0.1116</x:v>
      </x:c>
      <x:c r="F17" s="9" t="n">
        <x:v>0.876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-1</x:v>
      </x:c>
      <x:c r="V17" s="9" t="n">
        <x:v>0</x:v>
      </x:c>
      <x:c r="W17" s="9" t="n">
        <x:v>0</x:v>
      </x:c>
      <x:c r="X17" s="9" t="n">
        <x:v>0</x:v>
      </x:c>
      <x:c r="Y17" s="9" t="n">
        <x:f>SUMPRODUCT(B17:W17,$B$36:$W$36)</x:f>
        <x:v>227.4293583014936</x:v>
      </x:c>
      <x:c r="Z17" s="9" t="n">
        <x:f>Y17-X17</x:f>
        <x:v>227.4293583014936</x:v>
      </x:c>
      <x:c r="AA17" s="4" t="str">
        <x:f>IF(Y17+1E-6&gt;=X17,"否","是")</x:f>
        <x:v>否</x:v>
      </x:c>
    </x:row>
    <x:row r="18">
      <x:c r="A18" s="4" t="str">
        <x:v>铜板@4</x:v>
      </x:c>
      <x:c r="B18" s="9" t="n">
        <x:v>0</x:v>
      </x:c>
      <x:c r="C18" s="9" t="n">
        <x:v>0</x:v>
      </x:c>
      <x:c r="D18" s="9" t="n">
        <x:v>0.001116</x:v>
      </x:c>
      <x:c r="E18" s="9" t="n">
        <x:v>0.01116</x:v>
      </x:c>
      <x:c r="F18" s="9" t="n">
        <x:v>0.1116</x:v>
      </x:c>
      <x:c r="G18" s="9" t="n">
        <x:v>0.876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-1</x:v>
      </x:c>
      <x:c r="W18" s="9" t="n">
        <x:v>0</x:v>
      </x:c>
      <x:c r="X18" s="9" t="n">
        <x:v>0</x:v>
      </x:c>
      <x:c r="Y18" s="9" t="n">
        <x:f>SUMPRODUCT(B18:W18,$B$36:$W$36)</x:f>
        <x:v>1.6534329461137531e-10</x:v>
      </x:c>
      <x:c r="Z18" s="9" t="n">
        <x:f>Y18-X18</x:f>
        <x:v>1.6534329461137531e-10</x:v>
      </x:c>
      <x:c r="AA18" s="4" t="str">
        <x:f>IF(Y18+1E-6&gt;=X18,"否","是")</x:f>
        <x:v>否</x:v>
      </x:c>
    </x:row>
    <x:row r="19">
      <x:c r="A19" s="4" t="str">
        <x:v>铜板@5</x:v>
      </x:c>
      <x:c r="B19" s="9" t="n">
        <x:v>0</x:v>
      </x:c>
      <x:c r="C19" s="9" t="n">
        <x:v>0</x:v>
      </x:c>
      <x:c r="D19" s="9" t="n">
        <x:v>0.000124</x:v>
      </x:c>
      <x:c r="E19" s="9" t="n">
        <x:v>0.00124</x:v>
      </x:c>
      <x:c r="F19" s="9" t="n">
        <x:v>0.0124</x:v>
      </x:c>
      <x:c r="G19" s="9" t="n">
        <x:v>0.124</x:v>
      </x:c>
      <x:c r="H19" s="9" t="n">
        <x:v>1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-1</x:v>
      </x:c>
      <x:c r="X19" s="9" t="n">
        <x:v>0</x:v>
      </x:c>
      <x:c r="Y19" s="9" t="n">
        <x:f>SUMPRODUCT(B19:W19,$B$36:$W$36)</x:f>
        <x:v>-5.10516073859435e-10</x:v>
      </x:c>
      <x:c r="Z19" s="9" t="n">
        <x:f>Y19-X19</x:f>
        <x:v>-5.10516073859435e-10</x:v>
      </x:c>
      <x:c r="AA19" s="4" t="str">
        <x:f>IF(Y19+1E-6&gt;=X19,"否","是")</x:f>
        <x:v>否</x:v>
      </x:c>
    </x:row>
    <x:row r="20">
      <x:c r="A20" s="4" t="str">
        <x:v>铁板@1</x:v>
      </x:c>
      <x:c r="B20" s="9" t="n">
        <x:v>0</x:v>
      </x:c>
      <x:c r="C20" s="9" t="n">
        <x:v>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0.876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-2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f>SUMPRODUCT(B20:W20,$B$36:$W$36)</x:f>
        <x:v>-4.802132025361061e-10</x:v>
      </x:c>
      <x:c r="Z20" s="9" t="n">
        <x:f>Y20-X20</x:f>
        <x:v>-4.802132025361061e-10</x:v>
      </x:c>
      <x:c r="AA20" s="4" t="str">
        <x:f>IF(Y20+1E-6&gt;=X20,"否","是")</x:f>
        <x:v>否</x:v>
      </x:c>
    </x:row>
    <x:row r="21">
      <x:c r="A21" s="4" t="str">
        <x:v>铁板@2</x:v>
      </x:c>
      <x:c r="B21" s="9" t="n">
        <x:v>0</x:v>
      </x:c>
      <x:c r="C21" s="9" t="n">
        <x:v>0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9" t="n">
        <x:v>0.1116</x:v>
      </x:c>
      <x:c r="J21" s="9" t="n">
        <x:v>0.876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n">
        <x:v>-2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f>SUMPRODUCT(B21:W21,$B$36:$W$36)</x:f>
        <x:v>-5.95719029661268e-10</x:v>
      </x:c>
      <x:c r="Z21" s="9" t="n">
        <x:f>Y21-X21</x:f>
        <x:v>-5.95719029661268e-10</x:v>
      </x:c>
      <x:c r="AA21" s="4" t="str">
        <x:f>IF(Y21+1E-6&gt;=X21,"否","是")</x:f>
        <x:v>否</x:v>
      </x:c>
    </x:row>
    <x:row r="22">
      <x:c r="A22" s="4" t="str">
        <x:v>铁板@3</x:v>
      </x:c>
      <x:c r="B22" s="9" t="n">
        <x:v>0</x:v>
      </x:c>
      <x:c r="C22" s="9" t="n">
        <x:v>0</x:v>
      </x:c>
      <x:c r="D22" s="9" t="n">
        <x:v>0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  <x:c r="I22" s="9" t="n">
        <x:v>0.01116</x:v>
      </x:c>
      <x:c r="J22" s="9" t="n">
        <x:v>0.1116</x:v>
      </x:c>
      <x:c r="K22" s="9" t="n">
        <x:v>0.876</x:v>
      </x:c>
      <x:c r="L22" s="9" t="n">
        <x:v>0</x:v>
      </x:c>
      <x:c r="M22" s="9" t="n">
        <x:v>0</x:v>
      </x:c>
      <x:c r="N22" s="9" t="n">
        <x:v>0</x:v>
      </x:c>
      <x:c r="O22" s="9" t="n">
        <x:v>0</x:v>
      </x:c>
      <x:c r="P22" s="9" t="n">
        <x:v>-2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f>SUMPRODUCT(B22:W22,$B$36:$W$36)</x:f>
        <x:v>1.1484075912449043e-9</x:v>
      </x:c>
      <x:c r="Z22" s="9" t="n">
        <x:f>Y22-X22</x:f>
        <x:v>1.1484075912449043e-9</x:v>
      </x:c>
      <x:c r="AA22" s="4" t="str">
        <x:f>IF(Y22+1E-6&gt;=X22,"否","是")</x:f>
        <x:v>否</x:v>
      </x:c>
    </x:row>
    <x:row r="23">
      <x:c r="A23" s="4" t="str">
        <x:v>铁板@4</x:v>
      </x:c>
      <x:c r="B23" s="9" t="n">
        <x:v>0</x:v>
      </x:c>
      <x:c r="C23" s="9" t="n">
        <x:v>0</x:v>
      </x:c>
      <x:c r="D23" s="9" t="n">
        <x:v>0</x:v>
      </x:c>
      <x:c r="E23" s="9" t="n">
        <x:v>0</x:v>
      </x:c>
      <x:c r="F23" s="9" t="n">
        <x:v>0</x:v>
      </x:c>
      <x:c r="G23" s="9" t="n">
        <x:v>0</x:v>
      </x:c>
      <x:c r="H23" s="9" t="n">
        <x:v>0</x:v>
      </x:c>
      <x:c r="I23" s="9" t="n">
        <x:v>0.001116</x:v>
      </x:c>
      <x:c r="J23" s="9" t="n">
        <x:v>0.01116</x:v>
      </x:c>
      <x:c r="K23" s="9" t="n">
        <x:v>0.1116</x:v>
      </x:c>
      <x:c r="L23" s="9" t="n">
        <x:v>0.876</x:v>
      </x:c>
      <x:c r="M23" s="9" t="n">
        <x:v>0</x:v>
      </x:c>
      <x:c r="N23" s="9" t="n">
        <x:v>0</x:v>
      </x:c>
      <x:c r="O23" s="9" t="n">
        <x:v>0</x:v>
      </x:c>
      <x:c r="P23" s="9" t="n">
        <x:v>0</x:v>
      </x:c>
      <x:c r="Q23" s="9" t="n">
        <x:v>-2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f>SUMPRODUCT(B23:W23,$B$36:$W$36)</x:f>
        <x:v>1.8284396219314658e-10</x:v>
      </x:c>
      <x:c r="Z23" s="9" t="n">
        <x:f>Y23-X23</x:f>
        <x:v>1.8284396219314658e-10</x:v>
      </x:c>
      <x:c r="AA23" s="4" t="str">
        <x:f>IF(Y23+1E-6&gt;=X23,"否","是")</x:f>
        <x:v>否</x:v>
      </x:c>
    </x:row>
    <x:row r="24">
      <x:c r="A24" s="4" t="str">
        <x:v>铁板@5</x:v>
      </x:c>
      <x:c r="B24" s="9" t="n">
        <x:v>0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9" t="n">
        <x:v>0.000124</x:v>
      </x:c>
      <x:c r="J24" s="9" t="n">
        <x:v>0.00124</x:v>
      </x:c>
      <x:c r="K24" s="9" t="n">
        <x:v>0.0124</x:v>
      </x:c>
      <x:c r="L24" s="9" t="n">
        <x:v>0.124</x:v>
      </x:c>
      <x:c r="M24" s="9" t="n">
        <x:v>1</x:v>
      </x:c>
      <x:c r="N24" s="9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-2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f>SUMPRODUCT(B24:W24,$B$36:$W$36)</x:f>
        <x:v>7.36647205374476</x:v>
      </x:c>
      <x:c r="Z24" s="9" t="n">
        <x:f>Y24-X24</x:f>
        <x:v>7.36647205374476</x:v>
      </x:c>
      <x:c r="AA24" s="4" t="str">
        <x:f>IF(Y24+1E-6&gt;=X24,"否","是")</x:f>
        <x:v>否</x:v>
      </x:c>
    </x:row>
    <x:row r="25">
      <x:c r="A25" s="4" t="str">
        <x:v>齿轮@1</x:v>
      </x:c>
      <x:c r="B25" s="9" t="n">
        <x:v>0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9" t="n">
        <x:v>0</x:v>
      </x:c>
      <x:c r="N25" s="9" t="n">
        <x:v>0.752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-1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f>SUMPRODUCT(B25:W25,$B$36:$W$36)</x:f>
        <x:v>1.2823875294998288e-10</x:v>
      </x:c>
      <x:c r="Z25" s="9" t="n">
        <x:f>Y25-X25</x:f>
        <x:v>1.2823875294998288e-10</x:v>
      </x:c>
      <x:c r="AA25" s="4" t="str">
        <x:f>IF(Y25+1E-6&gt;=X25,"否","是")</x:f>
        <x:v>否</x:v>
      </x:c>
    </x:row>
    <x:row r="26">
      <x:c r="A26" s="4" t="str">
        <x:v>齿轮@2</x:v>
      </x:c>
      <x:c r="B26" s="9" t="n">
        <x:v>0</x:v>
      </x:c>
      <x:c r="C26" s="9" t="n">
        <x:v>0</x:v>
      </x:c>
      <x:c r="D26" s="9" t="n">
        <x:v>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9" t="n">
        <x:v>0.2232</x:v>
      </x:c>
      <x:c r="O26" s="9" t="n">
        <x:v>0.752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-1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f>SUMPRODUCT(B26:W26,$B$36:$W$36)</x:f>
        <x:v>-5.911715561524034e-11</x:v>
      </x:c>
      <x:c r="Z26" s="9" t="n">
        <x:f>Y26-X26</x:f>
        <x:v>-5.911715561524034e-11</x:v>
      </x:c>
      <x:c r="AA26" s="4" t="str">
        <x:f>IF(Y26+1E-6&gt;=X26,"否","是")</x:f>
        <x:v>否</x:v>
      </x:c>
    </x:row>
    <x:row r="27">
      <x:c r="A27" s="4" t="str">
        <x:v>齿轮@3</x:v>
      </x:c>
      <x:c r="B27" s="9" t="n">
        <x:v>0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9" t="n">
        <x:v>0</x:v>
      </x:c>
      <x:c r="K27" s="9" t="n">
        <x:v>0</x:v>
      </x:c>
      <x:c r="L27" s="9" t="n">
        <x:v>0</x:v>
      </x:c>
      <x:c r="M27" s="9" t="n">
        <x:v>0</x:v>
      </x:c>
      <x:c r="N27" s="9" t="n">
        <x:v>0.02232</x:v>
      </x:c>
      <x:c r="O27" s="9" t="n">
        <x:v>0.2232</x:v>
      </x:c>
      <x:c r="P27" s="9" t="n">
        <x:v>0.752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-1</x:v>
      </x:c>
      <x:c r="V27" s="9" t="n">
        <x:v>0</x:v>
      </x:c>
      <x:c r="W27" s="9" t="n">
        <x:v>0</x:v>
      </x:c>
      <x:c r="X27" s="9" t="n">
        <x:v>0</x:v>
      </x:c>
      <x:c r="Y27" s="9" t="n">
        <x:f>SUMPRODUCT(B27:W27,$B$36:$W$36)</x:f>
        <x:v>2.1816504158778116e-10</x:v>
      </x:c>
      <x:c r="Z27" s="9" t="n">
        <x:f>Y27-X27</x:f>
        <x:v>2.1816504158778116e-10</x:v>
      </x:c>
      <x:c r="AA27" s="4" t="str">
        <x:f>IF(Y27+1E-6&gt;=X27,"否","是")</x:f>
        <x:v>否</x:v>
      </x:c>
    </x:row>
    <x:row r="28">
      <x:c r="A28" s="4" t="str">
        <x:v>齿轮@4</x:v>
      </x:c>
      <x:c r="B28" s="9" t="n">
        <x:v>0</x:v>
      </x:c>
      <x:c r="C28" s="9" t="n">
        <x:v>0</x:v>
      </x:c>
      <x:c r="D28" s="9" t="n">
        <x:v>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0</x:v>
      </x:c>
      <x:c r="K28" s="9" t="n">
        <x:v>0</x:v>
      </x:c>
      <x:c r="L28" s="9" t="n">
        <x:v>0</x:v>
      </x:c>
      <x:c r="M28" s="9" t="n">
        <x:v>0</x:v>
      </x:c>
      <x:c r="N28" s="9" t="n">
        <x:v>0.002232</x:v>
      </x:c>
      <x:c r="O28" s="9" t="n">
        <x:v>0.02232</x:v>
      </x:c>
      <x:c r="P28" s="9" t="n">
        <x:v>0.2232</x:v>
      </x:c>
      <x:c r="Q28" s="9" t="n">
        <x:v>0.752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-1</x:v>
      </x:c>
      <x:c r="W28" s="9" t="n">
        <x:v>0</x:v>
      </x:c>
      <x:c r="X28" s="9" t="n">
        <x:v>0</x:v>
      </x:c>
      <x:c r="Y28" s="9" t="n">
        <x:f>SUMPRODUCT(B28:W28,$B$36:$W$36)</x:f>
        <x:v>-6.210143510543276e-12</x:v>
      </x:c>
      <x:c r="Z28" s="9" t="n">
        <x:f>Y28-X28</x:f>
        <x:v>-6.210143510543276e-12</x:v>
      </x:c>
      <x:c r="AA28" s="4" t="str">
        <x:f>IF(Y28+1E-6&gt;=X28,"否","是")</x:f>
        <x:v>否</x:v>
      </x:c>
    </x:row>
    <x:row r="29">
      <x:c r="A29" s="4" t="str">
        <x:v>齿轮@5</x:v>
      </x:c>
      <x:c r="B29" s="9" t="n">
        <x:v>0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0</x:v>
      </x:c>
      <x:c r="K29" s="9" t="n">
        <x:v>0</x:v>
      </x:c>
      <x:c r="L29" s="9" t="n">
        <x:v>0</x:v>
      </x:c>
      <x:c r="M29" s="9" t="n">
        <x:v>0</x:v>
      </x:c>
      <x:c r="N29" s="9" t="n">
        <x:v>0.000248</x:v>
      </x:c>
      <x:c r="O29" s="9" t="n">
        <x:v>0.00248</x:v>
      </x:c>
      <x:c r="P29" s="9" t="n">
        <x:v>0.0248</x:v>
      </x:c>
      <x:c r="Q29" s="9" t="n">
        <x:v>0.248</x:v>
      </x:c>
      <x:c r="R29" s="9" t="n">
        <x:v>1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-1</x:v>
      </x:c>
      <x:c r="X29" s="9" t="n">
        <x:v>0</x:v>
      </x:c>
      <x:c r="Y29" s="9" t="n">
        <x:f>SUMPRODUCT(B29:W29,$B$36:$W$36)</x:f>
        <x:v>1.089094675719311</x:v>
      </x:c>
      <x:c r="Z29" s="9" t="n">
        <x:f>Y29-X29</x:f>
        <x:v>1.089094675719311</x:v>
      </x:c>
      <x:c r="AA29" s="4" t="str">
        <x:f>IF(Y29+1E-6&gt;=X29,"否","是")</x:f>
        <x:v>否</x:v>
      </x:c>
    </x:row>
    <x:row r="30">
      <x:c r="A30" s="4" t="str">
        <x:v>红瓶@1</x:v>
      </x:c>
      <x:c r="B30" s="9" t="n">
        <x:v>0</x:v>
      </x:c>
      <x:c r="C30" s="9" t="n">
        <x:v>0</x:v>
      </x:c>
      <x:c r="D30" s="9" t="n">
        <x:v>0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  <x:c r="I30" s="9" t="n">
        <x:v>0</x:v>
      </x:c>
      <x:c r="J30" s="9" t="n">
        <x:v>0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0.752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0</x:v>
      </x:c>
      <x:c r="Y30" s="9" t="n">
        <x:f>SUMPRODUCT(B30:W30,$B$36:$W$36)</x:f>
        <x:v>2052.375273742976</x:v>
      </x:c>
      <x:c r="Z30" s="9" t="n">
        <x:f>Y30-X30</x:f>
        <x:v>2052.375273742976</x:v>
      </x:c>
      <x:c r="AA30" s="4" t="str">
        <x:f>IF(Y30+1E-6&gt;=X30,"否","是")</x:f>
        <x:v>否</x:v>
      </x:c>
    </x:row>
    <x:row r="31">
      <x:c r="A31" s="4" t="str">
        <x:v>红瓶@2</x:v>
      </x:c>
      <x:c r="B31" s="9" t="n">
        <x:v>0</x:v>
      </x:c>
      <x:c r="C31" s="9" t="n">
        <x:v>0</x:v>
      </x:c>
      <x:c r="D31" s="9" t="n">
        <x:v>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0.2232</x:v>
      </x:c>
      <x:c r="T31" s="9" t="n">
        <x:v>0.752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f>SUMPRODUCT(B31:W31,$B$36:$W$36)</x:f>
        <x:v>1901.8651277263775</x:v>
      </x:c>
      <x:c r="Z31" s="9" t="n">
        <x:f>Y31-X31</x:f>
        <x:v>1901.8651277263775</x:v>
      </x:c>
      <x:c r="AA31" s="4" t="str">
        <x:f>IF(Y31+1E-6&gt;=X31,"否","是")</x:f>
        <x:v>否</x:v>
      </x:c>
    </x:row>
    <x:row r="32">
      <x:c r="A32" s="4" t="str">
        <x:v>红瓶@3</x:v>
      </x:c>
      <x:c r="B32" s="9" t="n">
        <x:v>0</x:v>
      </x:c>
      <x:c r="C32" s="9" t="n">
        <x:v>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0.02232</x:v>
      </x:c>
      <x:c r="T32" s="9" t="n">
        <x:v>0.2232</x:v>
      </x:c>
      <x:c r="U32" s="9" t="n">
        <x:v>0.752</x:v>
      </x:c>
      <x:c r="V32" s="9" t="n">
        <x:v>0</x:v>
      </x:c>
      <x:c r="W32" s="9" t="n">
        <x:v>0</x:v>
      </x:c>
      <x:c r="X32" s="9" t="n">
        <x:v>0</x:v>
      </x:c>
      <x:c r="Y32" s="9" t="n">
        <x:f>SUMPRODUCT(B32:W32,$B$36:$W$36)</x:f>
        <x:v>830.5232026922737</x:v>
      </x:c>
      <x:c r="Z32" s="9" t="n">
        <x:f>Y32-X32</x:f>
        <x:v>830.5232026922737</x:v>
      </x:c>
      <x:c r="AA32" s="4" t="str">
        <x:f>IF(Y32+1E-6&gt;=X32,"否","是")</x:f>
        <x:v>否</x:v>
      </x:c>
    </x:row>
    <x:row r="33">
      <x:c r="A33" s="4" t="str">
        <x:v>红瓶@4</x:v>
      </x:c>
      <x:c r="B33" s="9" t="n">
        <x:v>0</x:v>
      </x:c>
      <x:c r="C33" s="9" t="n">
        <x:v>0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9" t="n">
        <x:v>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0.002232</x:v>
      </x:c>
      <x:c r="T33" s="9" t="n">
        <x:v>0.02232</x:v>
      </x:c>
      <x:c r="U33" s="9" t="n">
        <x:v>0.2232</x:v>
      </x:c>
      <x:c r="V33" s="9" t="n">
        <x:v>0.752</x:v>
      </x:c>
      <x:c r="W33" s="9" t="n">
        <x:v>0</x:v>
      </x:c>
      <x:c r="X33" s="9" t="n">
        <x:v>0</x:v>
      </x:c>
      <x:c r="Y33" s="9" t="n">
        <x:f>SUMPRODUCT(B33:W33,$B$36:$W$36)</x:f>
        <x:v>239.22203149523534</x:v>
      </x:c>
      <x:c r="Z33" s="9" t="n">
        <x:f>Y33-X33</x:f>
        <x:v>239.22203149523534</x:v>
      </x:c>
      <x:c r="AA33" s="4" t="str">
        <x:f>IF(Y33+1E-6&gt;=X33,"否","是")</x:f>
        <x:v>否</x:v>
      </x:c>
    </x:row>
    <x:row r="34">
      <x:c r="A34" s="4" t="str">
        <x:v>红瓶@5</x:v>
      </x:c>
      <x:c r="B34" s="9" t="n">
        <x:v>0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0.000248</x:v>
      </x:c>
      <x:c r="T34" s="9" t="n">
        <x:v>0.00248</x:v>
      </x:c>
      <x:c r="U34" s="9" t="n">
        <x:v>0.0248</x:v>
      </x:c>
      <x:c r="V34" s="9" t="n">
        <x:v>0.248</x:v>
      </x:c>
      <x:c r="W34" s="9" t="n">
        <x:v>1</x:v>
      </x:c>
      <x:c r="X34" s="9" t="n">
        <x:v>60</x:v>
      </x:c>
      <x:c r="Y34" s="9" t="n">
        <x:f>SUMPRODUCT(B34:W34,$B$36:$W$36)</x:f>
        <x:v>60.00000000013727</x:v>
      </x:c>
      <x:c r="Z34" s="9" t="n">
        <x:f>Y34-X34</x:f>
        <x:v>1.3726975112149375e-10</x:v>
      </x:c>
      <x:c r="AA34" s="4" t="str">
        <x:f>IF(Y34+1E-6&gt;=X34,"否","是")</x:f>
        <x:v>否</x:v>
      </x:c>
    </x:row>
    <x:row r="36">
      <x:c r="A36" s="8" t="str">
        <x:v>过程执行次数</x:v>
      </x:c>
      <x:c r="B36" s="11" t="n">
        <x:v>17455.047297483</x:v>
      </x:c>
      <x:c r="C36" s="11" t="n">
        <x:v>10179.40930285</x:v>
      </x:c>
      <x:c r="D36" s="11" t="n">
        <x:v>14208.408500151</x:v>
      </x:c>
      <x:c r="E36" s="11" t="n">
        <x:v>2921.974917599</x:v>
      </x:c>
      <x:c r="F36" s="11" t="n">
        <x:v>292.19749176</x:v>
      </x:c>
      <x:c r="G36" s="11" t="n">
        <x:v>29.219749176</x:v>
      </x:c>
      <x:c r="H36" s="11" t="n">
        <x:v>3.246638797</x:v>
      </x:c>
      <x:c r="I36" s="11" t="n">
        <x:v>8286.03917252</x:v>
      </x:c>
      <x:c r="J36" s="11" t="n">
        <x:v>1704.033117297</x:v>
      </x:c>
      <x:c r="K36" s="11" t="n">
        <x:v>170.40331173</x:v>
      </x:c>
      <x:c r="L36" s="11" t="n">
        <x:v>17.040331173</x:v>
      </x:c>
      <x:c r="M36" s="11" t="n">
        <x:v>0</x:v>
      </x:c>
      <x:c r="N36" s="11" t="n">
        <x:v>3629.285157564</x:v>
      </x:c>
      <x:c r="O36" s="11" t="n">
        <x:v>1208.727491203</x:v>
      </x:c>
      <x:c r="P36" s="11" t="n">
        <x:v>215.957797065</x:v>
      </x:c>
      <x:c r="Q36" s="11" t="n">
        <x:v>31.104284501</x:v>
      </x:c>
      <x:c r="R36" s="11" t="n">
        <x:v>0</x:v>
      </x:c>
      <x:c r="S36" s="11" t="n">
        <x:v>2729.222438488</x:v>
      </x:c>
      <x:c r="T36" s="11" t="n">
        <x:v>1719.019520553</x:v>
      </x:c>
      <x:c r="U36" s="11" t="n">
        <x:v>513.193884146</x:v>
      </x:c>
      <x:c r="V36" s="11" t="n">
        <x:v>106.671564325</x:v>
      </x:c>
      <x:c r="W36" s="11" t="n">
        <x:v>15.878228145</x:v>
      </x:c>
      <x:c r="X36" s="8" t="str"/>
      <x:c r="Y36" s="8" t="str"/>
      <x:c r="Z36" s="8" t="str"/>
      <x:c r="AA36" s="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.109999656677246" hidden="0" customWidth="1"/>
    <x:col min="3" max="3" width="9.109999656677246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9.109999656677246" hidden="0" customWidth="1"/>
    <x:col min="14" max="14" width="9.109999656677246" hidden="0" customWidth="1"/>
    <x:col min="15" max="15" width="9.109999656677246" hidden="0" customWidth="1"/>
    <x:col min="16" max="16" width="9.109999656677246" hidden="0" customWidth="1"/>
    <x:col min="17" max="17" width="9.109999656677246" hidden="0" customWidth="1"/>
    <x:col min="18" max="18" width="9.109999656677246" hidden="0" customWidth="1"/>
    <x:col min="19" max="19" width="9.109999656677246" hidden="0" customWidth="1"/>
    <x:col min="20" max="20" width="9.109999656677246" hidden="0" customWidth="1"/>
    <x:col min="21" max="21" width="9.109999656677246" hidden="0" customWidth="1"/>
    <x:col min="22" max="22" width="9.109999656677246" hidden="0" customWidth="1"/>
    <x:col min="23" max="23" width="9.109999656677246" hidden="0" customWidth="1"/>
    <x:col min="24" max="24" width="9.109999656677246" hidden="0" customWidth="1"/>
    <x:col min="25" max="25" width="9.109999656677246" hidden="0" customWidth="1"/>
    <x:col min="26" max="26" width="9.109999656677246" hidden="0" customWidth="1"/>
    <x:col min="27" max="27" width="9.109999656677246" hidden="0" customWidth="1"/>
    <x:col min="28" max="28" width="9.109999656677246" hidden="0" customWidth="1"/>
    <x:col min="29" max="29" width="10.890000343322754" hidden="0" customWidth="1"/>
    <x:col min="30" max="30" width="10.890000343322754" hidden="0" customWidth="1"/>
    <x:col min="31" max="31" width="8.670000076293945" hidden="0" customWidth="1"/>
  </x:cols>
  <x:sheetData>
    <x:row r="1">
      <x:c r="A1" s="1" t="str">
        <x:v>完整矩阵_带回收</x:v>
      </x:c>
    </x:row>
    <x:row r="2">
      <x:c r="A2" s="2" t="str">
        <x:v>完整展开矩阵：行是物料@星级，列是配置后的过程。</x:v>
      </x:c>
    </x:row>
    <x:row r="4">
      <x:c r="A4" s="8" t="str">
        <x:v>物料行</x:v>
      </x:c>
      <x:c r="B4" s="8" t="str">
        <x:v>采铜矿</x:v>
      </x:c>
      <x:c r="C4" s="8" t="str">
        <x:v>采铁矿</x:v>
      </x:c>
      <x:c r="D4" s="8" t="str">
        <x:v>冶铜板@1</x:v>
      </x:c>
      <x:c r="E4" s="8" t="str">
        <x:v>冶铜板@2</x:v>
      </x:c>
      <x:c r="F4" s="8" t="str">
        <x:v>冶铜板@3</x:v>
      </x:c>
      <x:c r="G4" s="8" t="str">
        <x:v>冶铜板@4</x:v>
      </x:c>
      <x:c r="H4" s="8" t="str">
        <x:v>冶铜板@5</x:v>
      </x:c>
      <x:c r="I4" s="8" t="str">
        <x:v>冶铁板@1</x:v>
      </x:c>
      <x:c r="J4" s="8" t="str">
        <x:v>冶铁板@2</x:v>
      </x:c>
      <x:c r="K4" s="8" t="str">
        <x:v>冶铁板@3</x:v>
      </x:c>
      <x:c r="L4" s="8" t="str">
        <x:v>冶铁板@4</x:v>
      </x:c>
      <x:c r="M4" s="8" t="str">
        <x:v>冶铁板@5</x:v>
      </x:c>
      <x:c r="N4" s="8" t="str">
        <x:v>造齿轮@1</x:v>
      </x:c>
      <x:c r="O4" s="8" t="str">
        <x:v>造齿轮@2</x:v>
      </x:c>
      <x:c r="P4" s="8" t="str">
        <x:v>造齿轮@3</x:v>
      </x:c>
      <x:c r="Q4" s="8" t="str">
        <x:v>造齿轮@4</x:v>
      </x:c>
      <x:c r="R4" s="8" t="str">
        <x:v>造齿轮@5</x:v>
      </x:c>
      <x:c r="S4" s="8" t="str">
        <x:v>造红瓶@1</x:v>
      </x:c>
      <x:c r="T4" s="8" t="str">
        <x:v>造红瓶@2</x:v>
      </x:c>
      <x:c r="U4" s="8" t="str">
        <x:v>造红瓶@3</x:v>
      </x:c>
      <x:c r="V4" s="8" t="str">
        <x:v>造红瓶@4</x:v>
      </x:c>
      <x:c r="W4" s="8" t="str">
        <x:v>造红瓶@5</x:v>
      </x:c>
      <x:c r="X4" s="8" t="str">
        <x:v>回收红瓶@1</x:v>
      </x:c>
      <x:c r="Y4" s="8" t="str">
        <x:v>回收红瓶@2</x:v>
      </x:c>
      <x:c r="Z4" s="8" t="str">
        <x:v>回收红瓶@3</x:v>
      </x:c>
      <x:c r="AA4" s="8" t="str">
        <x:v>回收红瓶@4</x:v>
      </x:c>
      <x:c r="AB4" s="8" t="str">
        <x:v>右侧目标</x:v>
      </x:c>
      <x:c r="AC4" s="8" t="str">
        <x:v>可行解平衡</x:v>
      </x:c>
      <x:c r="AD4" s="8" t="str">
        <x:v>剩余/超额</x:v>
      </x:c>
      <x:c r="AE4" s="8" t="str">
        <x:v>是否短缺</x:v>
      </x:c>
    </x:row>
    <x:row r="5">
      <x:c r="A5" s="4" t="str">
        <x:v>铜矿@1</x:v>
      </x:c>
      <x:c r="B5" s="9" t="n">
        <x:v>0.814</x:v>
      </x:c>
      <x:c r="C5" s="9" t="n">
        <x:v>0</x:v>
      </x:c>
      <x:c r="D5" s="9" t="n">
        <x:v>-1</x:v>
      </x:c>
      <x:c r="E5" s="9" t="n">
        <x:v>0</x:v>
      </x:c>
      <x:c r="F5" s="9" t="n">
        <x:v>0</x:v>
      </x:c>
      <x:c r="G5" s="9" t="n">
        <x:v>0</x:v>
      </x:c>
      <x:c r="H5" s="9" t="n">
        <x:v>0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v>0</x:v>
      </x:c>
      <x:c r="Z5" s="9" t="n">
        <x:v>0</x:v>
      </x:c>
      <x:c r="AA5" s="9" t="n">
        <x:v>0</x:v>
      </x:c>
      <x:c r="AB5" s="9" t="n">
        <x:v>0</x:v>
      </x:c>
      <x:c r="AC5" s="9" t="n">
        <x:f>SUMPRODUCT(B5:AA5,$B$36:$AA$36)</x:f>
        <x:v>4.5838532969355583e-10</x:v>
      </x:c>
      <x:c r="AD5" s="9" t="n">
        <x:f>AC5-AB5</x:f>
        <x:v>4.5838532969355583e-10</x:v>
      </x:c>
      <x:c r="AE5" s="4" t="str">
        <x:f>IF(AC5+1E-6&gt;=AB5,"否","是")</x:f>
        <x:v>否</x:v>
      </x:c>
    </x:row>
    <x:row r="6">
      <x:c r="A6" s="4" t="str">
        <x:v>铜矿@2</x:v>
      </x:c>
      <x:c r="B6" s="9" t="n">
        <x:v>0.1674</x:v>
      </x:c>
      <x:c r="C6" s="9" t="n">
        <x:v>0</x:v>
      </x:c>
      <x:c r="D6" s="9" t="n">
        <x:v>0</x:v>
      </x:c>
      <x:c r="E6" s="9" t="n">
        <x:v>-1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v>0</x:v>
      </x:c>
      <x:c r="Z6" s="9" t="n">
        <x:v>0</x:v>
      </x:c>
      <x:c r="AA6" s="9" t="n">
        <x:v>0</x:v>
      </x:c>
      <x:c r="AB6" s="9" t="n">
        <x:v>0</x:v>
      </x:c>
      <x:c r="AC6" s="9" t="n">
        <x:f>SUMPRODUCT(B6:AA6,$B$36:$AA$36)</x:f>
        <x:v>-3.121840563835576e-10</x:v>
      </x:c>
      <x:c r="AD6" s="9" t="n">
        <x:f>AC6-AB6</x:f>
        <x:v>-3.121840563835576e-10</x:v>
      </x:c>
      <x:c r="AE6" s="4" t="str">
        <x:f>IF(AC6+1E-6&gt;=AB6,"否","是")</x:f>
        <x:v>否</x:v>
      </x:c>
    </x:row>
    <x:row r="7">
      <x:c r="A7" s="4" t="str">
        <x:v>铜矿@3</x:v>
      </x:c>
      <x:c r="B7" s="9" t="n">
        <x:v>0.01674</x:v>
      </x:c>
      <x:c r="C7" s="9" t="n">
        <x:v>0</x:v>
      </x:c>
      <x:c r="D7" s="9" t="n">
        <x:v>0</x:v>
      </x:c>
      <x:c r="E7" s="9" t="n">
        <x:v>0</x:v>
      </x:c>
      <x:c r="F7" s="9" t="n">
        <x:v>-1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9" t="n">
        <x:v>0</x:v>
      </x:c>
      <x:c r="AA7" s="9" t="n">
        <x:v>0</x:v>
      </x:c>
      <x:c r="AB7" s="9" t="n">
        <x:v>0</x:v>
      </x:c>
      <x:c r="AC7" s="9" t="n">
        <x:f>SUMPRODUCT(B7:AA7,$B$36:$AA$36)</x:f>
        <x:v>2.687841060833307e-10</x:v>
      </x:c>
      <x:c r="AD7" s="9" t="n">
        <x:f>AC7-AB7</x:f>
        <x:v>2.687841060833307e-10</x:v>
      </x:c>
      <x:c r="AE7" s="4" t="str">
        <x:f>IF(AC7+1E-6&gt;=AB7,"否","是")</x:f>
        <x:v>否</x:v>
      </x:c>
    </x:row>
    <x:row r="8">
      <x:c r="A8" s="4" t="str">
        <x:v>铜矿@4</x:v>
      </x:c>
      <x:c r="B8" s="9" t="n">
        <x:v>0.001674</x:v>
      </x:c>
      <x:c r="C8" s="9" t="n">
        <x:v>0</x:v>
      </x:c>
      <x:c r="D8" s="9" t="n">
        <x:v>0</x:v>
      </x:c>
      <x:c r="E8" s="9" t="n">
        <x:v>0</x:v>
      </x:c>
      <x:c r="F8" s="9" t="n">
        <x:v>0</x:v>
      </x:c>
      <x:c r="G8" s="9" t="n">
        <x:v>-1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9" t="n">
        <x:v>0</x:v>
      </x:c>
      <x:c r="AA8" s="9" t="n">
        <x:v>0</x:v>
      </x:c>
      <x:c r="AB8" s="9" t="n">
        <x:v>0</x:v>
      </x:c>
      <x:c r="AC8" s="9" t="n">
        <x:f>SUMPRODUCT(B8:AA8,$B$36:$AA$36)</x:f>
        <x:v>4.268780884331136e-10</x:v>
      </x:c>
      <x:c r="AD8" s="9" t="n">
        <x:f>AC8-AB8</x:f>
        <x:v>4.268780884331136e-10</x:v>
      </x:c>
      <x:c r="AE8" s="4" t="str">
        <x:f>IF(AC8+1E-6&gt;=AB8,"否","是")</x:f>
        <x:v>否</x:v>
      </x:c>
    </x:row>
    <x:row r="9">
      <x:c r="A9" s="4" t="str">
        <x:v>铜矿@5</x:v>
      </x:c>
      <x:c r="B9" s="9" t="n">
        <x:v>0.000186</x:v>
      </x:c>
      <x:c r="C9" s="9" t="n">
        <x:v>0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-1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9" t="n">
        <x:v>0</x:v>
      </x:c>
      <x:c r="AA9" s="9" t="n">
        <x:v>0</x:v>
      </x:c>
      <x:c r="AB9" s="9" t="n">
        <x:v>0</x:v>
      </x:c>
      <x:c r="AC9" s="9" t="n">
        <x:f>SUMPRODUCT(B9:AA9,$B$36:$AA$36)</x:f>
        <x:v>1.585420683625216e-10</x:v>
      </x:c>
      <x:c r="AD9" s="9" t="n">
        <x:f>AC9-AB9</x:f>
        <x:v>1.585420683625216e-10</x:v>
      </x:c>
      <x:c r="AE9" s="4" t="str">
        <x:f>IF(AC9+1E-6&gt;=AB9,"否","是")</x:f>
        <x:v>否</x:v>
      </x:c>
    </x:row>
    <x:row r="10">
      <x:c r="A10" s="4" t="str">
        <x:v>铁矿@1</x:v>
      </x:c>
      <x:c r="B10" s="9" t="n">
        <x:v>0</x:v>
      </x:c>
      <x:c r="C10" s="9" t="n">
        <x:v>0.814</x:v>
      </x:c>
      <x:c r="D10" s="9" t="n">
        <x:v>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-1</x:v>
      </x:c>
      <x:c r="J10" s="9" t="n">
        <x:v>0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9" t="n">
        <x:v>0</x:v>
      </x:c>
      <x:c r="AA10" s="9" t="n">
        <x:v>0</x:v>
      </x:c>
      <x:c r="AB10" s="9" t="n">
        <x:v>0</x:v>
      </x:c>
      <x:c r="AC10" s="9" t="n">
        <x:f>SUMPRODUCT(B10:AA10,$B$36:$AA$36)</x:f>
        <x:v>-7.275957614183426e-12</x:v>
      </x:c>
      <x:c r="AD10" s="9" t="n">
        <x:f>AC10-AB10</x:f>
        <x:v>-7.275957614183426e-12</x:v>
      </x:c>
      <x:c r="AE10" s="4" t="str">
        <x:f>IF(AC10+1E-6&gt;=AB10,"否","是")</x:f>
        <x:v>否</x:v>
      </x:c>
    </x:row>
    <x:row r="11">
      <x:c r="A11" s="4" t="str">
        <x:v>铁矿@2</x:v>
      </x:c>
      <x:c r="B11" s="9" t="n">
        <x:v>0</x:v>
      </x:c>
      <x:c r="C11" s="9" t="n">
        <x:v>0.1674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9" t="n">
        <x:v>-1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9" t="n">
        <x:v>0</x:v>
      </x:c>
      <x:c r="AA11" s="9" t="n">
        <x:v>0</x:v>
      </x:c>
      <x:c r="AB11" s="9" t="n">
        <x:v>0</x:v>
      </x:c>
      <x:c r="AC11" s="9" t="n">
        <x:f>SUMPRODUCT(B11:AA11,$B$36:$AA$36)</x:f>
        <x:v>-2.9467628337442875e-10</x:v>
      </x:c>
      <x:c r="AD11" s="9" t="n">
        <x:f>AC11-AB11</x:f>
        <x:v>-2.9467628337442875e-10</x:v>
      </x:c>
      <x:c r="AE11" s="4" t="str">
        <x:f>IF(AC11+1E-6&gt;=AB11,"否","是")</x:f>
        <x:v>否</x:v>
      </x:c>
    </x:row>
    <x:row r="12">
      <x:c r="A12" s="4" t="str">
        <x:v>铁矿@3</x:v>
      </x:c>
      <x:c r="B12" s="9" t="n">
        <x:v>0</x:v>
      </x:c>
      <x:c r="C12" s="9" t="n">
        <x:v>0.01674</x:v>
      </x:c>
      <x:c r="D12" s="9" t="n">
        <x:v>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9" t="n">
        <x:v>-1</x:v>
      </x:c>
      <x:c r="L12" s="9" t="n">
        <x:v>0</x:v>
      </x:c>
      <x:c r="M12" s="9" t="n">
        <x:v>0</x:v>
      </x:c>
      <x:c r="N12" s="9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9" t="n">
        <x:v>0</x:v>
      </x:c>
      <x:c r="AA12" s="9" t="n">
        <x:v>0</x:v>
      </x:c>
      <x:c r="AB12" s="9" t="n">
        <x:v>0</x:v>
      </x:c>
      <x:c r="AC12" s="9" t="n">
        <x:f>SUMPRODUCT(B12:AA12,$B$36:$AA$36)</x:f>
        <x:v>7.057110451569315e-11</x:v>
      </x:c>
      <x:c r="AD12" s="9" t="n">
        <x:f>AC12-AB12</x:f>
        <x:v>7.057110451569315e-11</x:v>
      </x:c>
      <x:c r="AE12" s="4" t="str">
        <x:f>IF(AC12+1E-6&gt;=AB12,"否","是")</x:f>
        <x:v>否</x:v>
      </x:c>
    </x:row>
    <x:row r="13">
      <x:c r="A13" s="4" t="str">
        <x:v>铁矿@4</x:v>
      </x:c>
      <x:c r="B13" s="9" t="n">
        <x:v>0</x:v>
      </x:c>
      <x:c r="C13" s="9" t="n">
        <x:v>0.001674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-1</x:v>
      </x:c>
      <x:c r="M13" s="9" t="n">
        <x:v>0</x:v>
      </x:c>
      <x:c r="N13" s="9" t="n">
        <x:v>0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9" t="n">
        <x:v>0</x:v>
      </x:c>
      <x:c r="AA13" s="9" t="n">
        <x:v>0</x:v>
      </x:c>
      <x:c r="AB13" s="9" t="n">
        <x:v>0</x:v>
      </x:c>
      <x:c r="AC13" s="9" t="n">
        <x:f>SUMPRODUCT(B13:AA13,$B$36:$AA$36)</x:f>
        <x:v>12.946774404807053</x:v>
      </x:c>
      <x:c r="AD13" s="9" t="n">
        <x:f>AC13-AB13</x:f>
        <x:v>12.946774404807053</x:v>
      </x:c>
      <x:c r="AE13" s="4" t="str">
        <x:f>IF(AC13+1E-6&gt;=AB13,"否","是")</x:f>
        <x:v>否</x:v>
      </x:c>
    </x:row>
    <x:row r="14">
      <x:c r="A14" s="4" t="str">
        <x:v>铁矿@5</x:v>
      </x:c>
      <x:c r="B14" s="9" t="n">
        <x:v>0</x:v>
      </x:c>
      <x:c r="C14" s="9" t="n">
        <x:v>0.000186</x:v>
      </x:c>
      <x:c r="D14" s="9" t="n">
        <x:v>0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9" t="n">
        <x:v>-1</x:v>
      </x:c>
      <x:c r="N14" s="9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9" t="n">
        <x:v>0</x:v>
      </x:c>
      <x:c r="AA14" s="9" t="n">
        <x:v>0</x:v>
      </x:c>
      <x:c r="AB14" s="9" t="n">
        <x:v>0</x:v>
      </x:c>
      <x:c r="AC14" s="9" t="n">
        <x:f>SUMPRODUCT(B14:AA14,$B$36:$AA$36)</x:f>
        <x:v>1.438530489423006</x:v>
      </x:c>
      <x:c r="AD14" s="9" t="n">
        <x:f>AC14-AB14</x:f>
        <x:v>1.438530489423006</x:v>
      </x:c>
      <x:c r="AE14" s="4" t="str">
        <x:f>IF(AC14+1E-6&gt;=AB14,"否","是")</x:f>
        <x:v>否</x:v>
      </x:c>
    </x:row>
    <x:row r="15">
      <x:c r="A15" s="4" t="str">
        <x:v>铜板@1</x:v>
      </x:c>
      <x:c r="B15" s="9" t="n">
        <x:v>0</x:v>
      </x:c>
      <x:c r="C15" s="9" t="n">
        <x:v>0</x:v>
      </x:c>
      <x:c r="D15" s="9" t="n">
        <x:v>0.876</x:v>
      </x:c>
      <x:c r="E15" s="9" t="n">
        <x:v>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-1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0</x:v>
      </x:c>
      <x:c r="Z15" s="9" t="n">
        <x:v>0</x:v>
      </x:c>
      <x:c r="AA15" s="9" t="n">
        <x:v>0</x:v>
      </x:c>
      <x:c r="AB15" s="9" t="n">
        <x:v>0</x:v>
      </x:c>
      <x:c r="AC15" s="9" t="n">
        <x:f>SUMPRODUCT(B15:AA15,$B$36:$AA$36)</x:f>
        <x:v>4479.065780747687</x:v>
      </x:c>
      <x:c r="AD15" s="9" t="n">
        <x:f>AC15-AB15</x:f>
        <x:v>4479.065780747687</x:v>
      </x:c>
      <x:c r="AE15" s="4" t="str">
        <x:f>IF(AC15+1E-6&gt;=AB15,"否","是")</x:f>
        <x:v>否</x:v>
      </x:c>
    </x:row>
    <x:row r="16">
      <x:c r="A16" s="4" t="str">
        <x:v>铜板@2</x:v>
      </x:c>
      <x:c r="B16" s="9" t="n">
        <x:v>0</x:v>
      </x:c>
      <x:c r="C16" s="9" t="n">
        <x:v>0</x:v>
      </x:c>
      <x:c r="D16" s="9" t="n">
        <x:v>0.1116</x:v>
      </x:c>
      <x:c r="E16" s="9" t="n">
        <x:v>0.876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-1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9" t="n">
        <x:v>0</x:v>
      </x:c>
      <x:c r="AA16" s="9" t="n">
        <x:v>0</x:v>
      </x:c>
      <x:c r="AB16" s="9" t="n">
        <x:v>0</x:v>
      </x:c>
      <x:c r="AC16" s="9" t="n">
        <x:f>SUMPRODUCT(B16:AA16,$B$36:$AA$36)</x:f>
        <x:v>876.2869562028491</x:v>
      </x:c>
      <x:c r="AD16" s="9" t="n">
        <x:f>AC16-AB16</x:f>
        <x:v>876.2869562028491</x:v>
      </x:c>
      <x:c r="AE16" s="4" t="str">
        <x:f>IF(AC16+1E-6&gt;=AB16,"否","是")</x:f>
        <x:v>否</x:v>
      </x:c>
    </x:row>
    <x:row r="17">
      <x:c r="A17" s="4" t="str">
        <x:v>铜板@3</x:v>
      </x:c>
      <x:c r="B17" s="9" t="n">
        <x:v>0</x:v>
      </x:c>
      <x:c r="C17" s="9" t="n">
        <x:v>0</x:v>
      </x:c>
      <x:c r="D17" s="9" t="n">
        <x:v>0.01116</x:v>
      </x:c>
      <x:c r="E17" s="9" t="n">
        <x:v>0.1116</x:v>
      </x:c>
      <x:c r="F17" s="9" t="n">
        <x:v>0.876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-1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9" t="n">
        <x:v>0</x:v>
      </x:c>
      <x:c r="AA17" s="9" t="n">
        <x:v>0</x:v>
      </x:c>
      <x:c r="AB17" s="9" t="n">
        <x:v>0</x:v>
      </x:c>
      <x:c r="AC17" s="9" t="n">
        <x:f>SUMPRODUCT(B17:AA17,$B$36:$AA$36)</x:f>
        <x:v>4.087041816092096e-11</x:v>
      </x:c>
      <x:c r="AD17" s="9" t="n">
        <x:f>AC17-AB17</x:f>
        <x:v>4.087041816092096e-11</x:v>
      </x:c>
      <x:c r="AE17" s="4" t="str">
        <x:f>IF(AC17+1E-6&gt;=AB17,"否","是")</x:f>
        <x:v>否</x:v>
      </x:c>
    </x:row>
    <x:row r="18">
      <x:c r="A18" s="4" t="str">
        <x:v>铜板@4</x:v>
      </x:c>
      <x:c r="B18" s="9" t="n">
        <x:v>0</x:v>
      </x:c>
      <x:c r="C18" s="9" t="n">
        <x:v>0</x:v>
      </x:c>
      <x:c r="D18" s="9" t="n">
        <x:v>0.001116</x:v>
      </x:c>
      <x:c r="E18" s="9" t="n">
        <x:v>0.01116</x:v>
      </x:c>
      <x:c r="F18" s="9" t="n">
        <x:v>0.1116</x:v>
      </x:c>
      <x:c r="G18" s="9" t="n">
        <x:v>0.876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-1</x:v>
      </x:c>
      <x:c r="W18" s="9" t="n">
        <x:v>0</x:v>
      </x:c>
      <x:c r="X18" s="9" t="n">
        <x:v>0</x:v>
      </x:c>
      <x:c r="Y18" s="9" t="n">
        <x:v>0</x:v>
      </x:c>
      <x:c r="Z18" s="9" t="n">
        <x:v>0</x:v>
      </x:c>
      <x:c r="AA18" s="9" t="n">
        <x:v>0</x:v>
      </x:c>
      <x:c r="AB18" s="9" t="n">
        <x:v>0</x:v>
      </x:c>
      <x:c r="AC18" s="9" t="n">
        <x:f>SUMPRODUCT(B18:AA18,$B$36:$AA$36)</x:f>
        <x:v>-8.79083472682396e-11</x:v>
      </x:c>
      <x:c r="AD18" s="9" t="n">
        <x:f>AC18-AB18</x:f>
        <x:v>-8.79083472682396e-11</x:v>
      </x:c>
      <x:c r="AE18" s="4" t="str">
        <x:f>IF(AC18+1E-6&gt;=AB18,"否","是")</x:f>
        <x:v>否</x:v>
      </x:c>
    </x:row>
    <x:row r="19">
      <x:c r="A19" s="4" t="str">
        <x:v>铜板@5</x:v>
      </x:c>
      <x:c r="B19" s="9" t="n">
        <x:v>0</x:v>
      </x:c>
      <x:c r="C19" s="9" t="n">
        <x:v>0</x:v>
      </x:c>
      <x:c r="D19" s="9" t="n">
        <x:v>0.000124</x:v>
      </x:c>
      <x:c r="E19" s="9" t="n">
        <x:v>0.00124</x:v>
      </x:c>
      <x:c r="F19" s="9" t="n">
        <x:v>0.0124</x:v>
      </x:c>
      <x:c r="G19" s="9" t="n">
        <x:v>0.124</x:v>
      </x:c>
      <x:c r="H19" s="9" t="n">
        <x:v>1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-1</x:v>
      </x:c>
      <x:c r="X19" s="9" t="n">
        <x:v>0</x:v>
      </x:c>
      <x:c r="Y19" s="9" t="n">
        <x:v>0</x:v>
      </x:c>
      <x:c r="Z19" s="9" t="n">
        <x:v>0</x:v>
      </x:c>
      <x:c r="AA19" s="9" t="n">
        <x:v>0</x:v>
      </x:c>
      <x:c r="AB19" s="9" t="n">
        <x:v>0</x:v>
      </x:c>
      <x:c r="AC19" s="9" t="n">
        <x:f>SUMPRODUCT(B19:AA19,$B$36:$AA$36)</x:f>
        <x:v>-4.897682259752401e-10</x:v>
      </x:c>
      <x:c r="AD19" s="9" t="n">
        <x:f>AC19-AB19</x:f>
        <x:v>-4.897682259752401e-10</x:v>
      </x:c>
      <x:c r="AE19" s="4" t="str">
        <x:f>IF(AC19+1E-6&gt;=AB19,"否","是")</x:f>
        <x:v>否</x:v>
      </x:c>
    </x:row>
    <x:row r="20">
      <x:c r="A20" s="4" t="str">
        <x:v>铁板@1</x:v>
      </x:c>
      <x:c r="B20" s="9" t="n">
        <x:v>0</x:v>
      </x:c>
      <x:c r="C20" s="9" t="n">
        <x:v>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0.876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-2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9" t="n">
        <x:v>0</x:v>
      </x:c>
      <x:c r="AA20" s="9" t="n">
        <x:v>0</x:v>
      </x:c>
      <x:c r="AB20" s="9" t="n">
        <x:v>0</x:v>
      </x:c>
      <x:c r="AC20" s="9" t="n">
        <x:f>SUMPRODUCT(B20:AA20,$B$36:$AA$36)</x:f>
        <x:v>4.483808879740536e-10</x:v>
      </x:c>
      <x:c r="AD20" s="9" t="n">
        <x:f>AC20-AB20</x:f>
        <x:v>4.483808879740536e-10</x:v>
      </x:c>
      <x:c r="AE20" s="4" t="str">
        <x:f>IF(AC20+1E-6&gt;=AB20,"否","是")</x:f>
        <x:v>否</x:v>
      </x:c>
    </x:row>
    <x:row r="21">
      <x:c r="A21" s="4" t="str">
        <x:v>铁板@2</x:v>
      </x:c>
      <x:c r="B21" s="9" t="n">
        <x:v>0</x:v>
      </x:c>
      <x:c r="C21" s="9" t="n">
        <x:v>0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9" t="n">
        <x:v>0.1116</x:v>
      </x:c>
      <x:c r="J21" s="9" t="n">
        <x:v>0.876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n">
        <x:v>-2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v>0</x:v>
      </x:c>
      <x:c r="Z21" s="9" t="n">
        <x:v>0</x:v>
      </x:c>
      <x:c r="AA21" s="9" t="n">
        <x:v>0</x:v>
      </x:c>
      <x:c r="AB21" s="9" t="n">
        <x:v>0</x:v>
      </x:c>
      <x:c r="AC21" s="9" t="n">
        <x:f>SUMPRODUCT(B21:AA21,$B$36:$AA$36)</x:f>
        <x:v>-4.46789272245951e-10</x:v>
      </x:c>
      <x:c r="AD21" s="9" t="n">
        <x:f>AC21-AB21</x:f>
        <x:v>-4.46789272245951e-10</x:v>
      </x:c>
      <x:c r="AE21" s="4" t="str">
        <x:f>IF(AC21+1E-6&gt;=AB21,"否","是")</x:f>
        <x:v>否</x:v>
      </x:c>
    </x:row>
    <x:row r="22">
      <x:c r="A22" s="4" t="str">
        <x:v>铁板@3</x:v>
      </x:c>
      <x:c r="B22" s="9" t="n">
        <x:v>0</x:v>
      </x:c>
      <x:c r="C22" s="9" t="n">
        <x:v>0</x:v>
      </x:c>
      <x:c r="D22" s="9" t="n">
        <x:v>0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  <x:c r="I22" s="9" t="n">
        <x:v>0.01116</x:v>
      </x:c>
      <x:c r="J22" s="9" t="n">
        <x:v>0.1116</x:v>
      </x:c>
      <x:c r="K22" s="9" t="n">
        <x:v>0.876</x:v>
      </x:c>
      <x:c r="L22" s="9" t="n">
        <x:v>0</x:v>
      </x:c>
      <x:c r="M22" s="9" t="n">
        <x:v>0</x:v>
      </x:c>
      <x:c r="N22" s="9" t="n">
        <x:v>0</x:v>
      </x:c>
      <x:c r="O22" s="9" t="n">
        <x:v>0</x:v>
      </x:c>
      <x:c r="P22" s="9" t="n">
        <x:v>-2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v>0</x:v>
      </x:c>
      <x:c r="Z22" s="9" t="n">
        <x:v>0</x:v>
      </x:c>
      <x:c r="AA22" s="9" t="n">
        <x:v>0</x:v>
      </x:c>
      <x:c r="AB22" s="9" t="n">
        <x:v>0</x:v>
      </x:c>
      <x:c r="AC22" s="9" t="n">
        <x:f>SUMPRODUCT(B22:AA22,$B$36:$AA$36)</x:f>
        <x:v>-8.52708126330981e-10</x:v>
      </x:c>
      <x:c r="AD22" s="9" t="n">
        <x:f>AC22-AB22</x:f>
        <x:v>-8.52708126330981e-10</x:v>
      </x:c>
      <x:c r="AE22" s="4" t="str">
        <x:f>IF(AC22+1E-6&gt;=AB22,"否","是")</x:f>
        <x:v>否</x:v>
      </x:c>
    </x:row>
    <x:row r="23">
      <x:c r="A23" s="4" t="str">
        <x:v>铁板@4</x:v>
      </x:c>
      <x:c r="B23" s="9" t="n">
        <x:v>0</x:v>
      </x:c>
      <x:c r="C23" s="9" t="n">
        <x:v>0</x:v>
      </x:c>
      <x:c r="D23" s="9" t="n">
        <x:v>0</x:v>
      </x:c>
      <x:c r="E23" s="9" t="n">
        <x:v>0</x:v>
      </x:c>
      <x:c r="F23" s="9" t="n">
        <x:v>0</x:v>
      </x:c>
      <x:c r="G23" s="9" t="n">
        <x:v>0</x:v>
      </x:c>
      <x:c r="H23" s="9" t="n">
        <x:v>0</x:v>
      </x:c>
      <x:c r="I23" s="9" t="n">
        <x:v>0.001116</x:v>
      </x:c>
      <x:c r="J23" s="9" t="n">
        <x:v>0.01116</x:v>
      </x:c>
      <x:c r="K23" s="9" t="n">
        <x:v>0.1116</x:v>
      </x:c>
      <x:c r="L23" s="9" t="n">
        <x:v>0.876</x:v>
      </x:c>
      <x:c r="M23" s="9" t="n">
        <x:v>0</x:v>
      </x:c>
      <x:c r="N23" s="9" t="n">
        <x:v>0</x:v>
      </x:c>
      <x:c r="O23" s="9" t="n">
        <x:v>0</x:v>
      </x:c>
      <x:c r="P23" s="9" t="n">
        <x:v>0</x:v>
      </x:c>
      <x:c r="Q23" s="9" t="n">
        <x:v>-2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v>0</x:v>
      </x:c>
      <x:c r="Z23" s="9" t="n">
        <x:v>0</x:v>
      </x:c>
      <x:c r="AA23" s="9" t="n">
        <x:v>0</x:v>
      </x:c>
      <x:c r="AB23" s="9" t="n">
        <x:v>0</x:v>
      </x:c>
      <x:c r="AC23" s="9" t="n">
        <x:f>SUMPRODUCT(B23:AA23,$B$36:$AA$36)</x:f>
        <x:v>35.92298338186673</x:v>
      </x:c>
      <x:c r="AD23" s="9" t="n">
        <x:f>AC23-AB23</x:f>
        <x:v>35.92298338186673</x:v>
      </x:c>
      <x:c r="AE23" s="4" t="str">
        <x:f>IF(AC23+1E-6&gt;=AB23,"否","是")</x:f>
        <x:v>否</x:v>
      </x:c>
    </x:row>
    <x:row r="24">
      <x:c r="A24" s="4" t="str">
        <x:v>铁板@5</x:v>
      </x:c>
      <x:c r="B24" s="9" t="n">
        <x:v>0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9" t="n">
        <x:v>0.000124</x:v>
      </x:c>
      <x:c r="J24" s="9" t="n">
        <x:v>0.00124</x:v>
      </x:c>
      <x:c r="K24" s="9" t="n">
        <x:v>0.0124</x:v>
      </x:c>
      <x:c r="L24" s="9" t="n">
        <x:v>0.124</x:v>
      </x:c>
      <x:c r="M24" s="9" t="n">
        <x:v>1</x:v>
      </x:c>
      <x:c r="N24" s="9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-2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0</x:v>
      </x:c>
      <x:c r="AC24" s="9" t="n">
        <x:f>SUMPRODUCT(B24:AA24,$B$36:$AA$36)</x:f>
        <x:v>1.3338984879851918</x:v>
      </x:c>
      <x:c r="AD24" s="9" t="n">
        <x:f>AC24-AB24</x:f>
        <x:v>1.3338984879851918</x:v>
      </x:c>
      <x:c r="AE24" s="4" t="str">
        <x:f>IF(AC24+1E-6&gt;=AB24,"否","是")</x:f>
        <x:v>否</x:v>
      </x:c>
    </x:row>
    <x:row r="25">
      <x:c r="A25" s="4" t="str">
        <x:v>齿轮@1</x:v>
      </x:c>
      <x:c r="B25" s="9" t="n">
        <x:v>0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9" t="n">
        <x:v>0</x:v>
      </x:c>
      <x:c r="N25" s="9" t="n">
        <x:v>0.752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-1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v>0</x:v>
      </x:c>
      <x:c r="Z25" s="9" t="n">
        <x:v>0</x:v>
      </x:c>
      <x:c r="AA25" s="9" t="n">
        <x:v>0</x:v>
      </x:c>
      <x:c r="AB25" s="9" t="n">
        <x:v>0</x:v>
      </x:c>
      <x:c r="AC25" s="9" t="n">
        <x:f>SUMPRODUCT(B25:AA25,$B$36:$AA$36)</x:f>
        <x:v>1.0368239600211382e-10</x:v>
      </x:c>
      <x:c r="AD25" s="9" t="n">
        <x:f>AC25-AB25</x:f>
        <x:v>1.0368239600211382e-10</x:v>
      </x:c>
      <x:c r="AE25" s="4" t="str">
        <x:f>IF(AC25+1E-6&gt;=AB25,"否","是")</x:f>
        <x:v>否</x:v>
      </x:c>
    </x:row>
    <x:row r="26">
      <x:c r="A26" s="4" t="str">
        <x:v>齿轮@2</x:v>
      </x:c>
      <x:c r="B26" s="9" t="n">
        <x:v>0</x:v>
      </x:c>
      <x:c r="C26" s="9" t="n">
        <x:v>0</x:v>
      </x:c>
      <x:c r="D26" s="9" t="n">
        <x:v>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9" t="n">
        <x:v>0.2232</x:v>
      </x:c>
      <x:c r="O26" s="9" t="n">
        <x:v>0.752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-1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9" t="n">
        <x:v>0</x:v>
      </x:c>
      <x:c r="AA26" s="9" t="n">
        <x:v>0</x:v>
      </x:c>
      <x:c r="AB26" s="9" t="n">
        <x:v>0</x:v>
      </x:c>
      <x:c r="AC26" s="9" t="n">
        <x:f>SUMPRODUCT(B26:AA26,$B$36:$AA$36)</x:f>
        <x:v>-1.9736035028472543e-10</x:v>
      </x:c>
      <x:c r="AD26" s="9" t="n">
        <x:f>AC26-AB26</x:f>
        <x:v>-1.9736035028472543e-10</x:v>
      </x:c>
      <x:c r="AE26" s="4" t="str">
        <x:f>IF(AC26+1E-6&gt;=AB26,"否","是")</x:f>
        <x:v>否</x:v>
      </x:c>
    </x:row>
    <x:row r="27">
      <x:c r="A27" s="4" t="str">
        <x:v>齿轮@3</x:v>
      </x:c>
      <x:c r="B27" s="9" t="n">
        <x:v>0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9" t="n">
        <x:v>0</x:v>
      </x:c>
      <x:c r="K27" s="9" t="n">
        <x:v>0</x:v>
      </x:c>
      <x:c r="L27" s="9" t="n">
        <x:v>0</x:v>
      </x:c>
      <x:c r="M27" s="9" t="n">
        <x:v>0</x:v>
      </x:c>
      <x:c r="N27" s="9" t="n">
        <x:v>0.02232</x:v>
      </x:c>
      <x:c r="O27" s="9" t="n">
        <x:v>0.2232</x:v>
      </x:c>
      <x:c r="P27" s="9" t="n">
        <x:v>0.752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-1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9" t="n">
        <x:v>0</x:v>
      </x:c>
      <x:c r="AA27" s="9" t="n">
        <x:v>0</x:v>
      </x:c>
      <x:c r="AB27" s="9" t="n">
        <x:v>0</x:v>
      </x:c>
      <x:c r="AC27" s="9" t="n">
        <x:f>SUMPRODUCT(B27:AA27,$B$36:$AA$36)</x:f>
        <x:v>6.322125045699067e-10</x:v>
      </x:c>
      <x:c r="AD27" s="9" t="n">
        <x:f>AC27-AB27</x:f>
        <x:v>6.322125045699067e-10</x:v>
      </x:c>
      <x:c r="AE27" s="4" t="str">
        <x:f>IF(AC27+1E-6&gt;=AB27,"否","是")</x:f>
        <x:v>否</x:v>
      </x:c>
    </x:row>
    <x:row r="28">
      <x:c r="A28" s="4" t="str">
        <x:v>齿轮@4</x:v>
      </x:c>
      <x:c r="B28" s="9" t="n">
        <x:v>0</x:v>
      </x:c>
      <x:c r="C28" s="9" t="n">
        <x:v>0</x:v>
      </x:c>
      <x:c r="D28" s="9" t="n">
        <x:v>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0</x:v>
      </x:c>
      <x:c r="K28" s="9" t="n">
        <x:v>0</x:v>
      </x:c>
      <x:c r="L28" s="9" t="n">
        <x:v>0</x:v>
      </x:c>
      <x:c r="M28" s="9" t="n">
        <x:v>0</x:v>
      </x:c>
      <x:c r="N28" s="9" t="n">
        <x:v>0.002232</x:v>
      </x:c>
      <x:c r="O28" s="9" t="n">
        <x:v>0.02232</x:v>
      </x:c>
      <x:c r="P28" s="9" t="n">
        <x:v>0.2232</x:v>
      </x:c>
      <x:c r="Q28" s="9" t="n">
        <x:v>0.752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-1</x:v>
      </x:c>
      <x:c r="W28" s="9" t="n">
        <x:v>0</x:v>
      </x:c>
      <x:c r="X28" s="9" t="n">
        <x:v>0</x:v>
      </x:c>
      <x:c r="Y28" s="9" t="n">
        <x:v>0</x:v>
      </x:c>
      <x:c r="Z28" s="9" t="n">
        <x:v>0</x:v>
      </x:c>
      <x:c r="AA28" s="9" t="n">
        <x:v>0</x:v>
      </x:c>
      <x:c r="AB28" s="9" t="n">
        <x:v>0</x:v>
      </x:c>
      <x:c r="AC28" s="9" t="n">
        <x:f>SUMPRODUCT(B28:AA28,$B$36:$AA$36)</x:f>
        <x:v>7.116108907615228</x:v>
      </x:c>
      <x:c r="AD28" s="9" t="n">
        <x:f>AC28-AB28</x:f>
        <x:v>7.116108907615228</x:v>
      </x:c>
      <x:c r="AE28" s="4" t="str">
        <x:f>IF(AC28+1E-6&gt;=AB28,"否","是")</x:f>
        <x:v>否</x:v>
      </x:c>
    </x:row>
    <x:row r="29">
      <x:c r="A29" s="4" t="str">
        <x:v>齿轮@5</x:v>
      </x:c>
      <x:c r="B29" s="9" t="n">
        <x:v>0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0</x:v>
      </x:c>
      <x:c r="K29" s="9" t="n">
        <x:v>0</x:v>
      </x:c>
      <x:c r="L29" s="9" t="n">
        <x:v>0</x:v>
      </x:c>
      <x:c r="M29" s="9" t="n">
        <x:v>0</x:v>
      </x:c>
      <x:c r="N29" s="9" t="n">
        <x:v>0.000248</x:v>
      </x:c>
      <x:c r="O29" s="9" t="n">
        <x:v>0.00248</x:v>
      </x:c>
      <x:c r="P29" s="9" t="n">
        <x:v>0.0248</x:v>
      </x:c>
      <x:c r="Q29" s="9" t="n">
        <x:v>0.248</x:v>
      </x:c>
      <x:c r="R29" s="9" t="n">
        <x:v>1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-1</x:v>
      </x:c>
      <x:c r="X29" s="9" t="n">
        <x:v>0</x:v>
      </x:c>
      <x:c r="Y29" s="9" t="n">
        <x:v>0</x:v>
      </x:c>
      <x:c r="Z29" s="9" t="n">
        <x:v>0</x:v>
      </x:c>
      <x:c r="AA29" s="9" t="n">
        <x:v>0</x:v>
      </x:c>
      <x:c r="AB29" s="9" t="n">
        <x:v>0</x:v>
      </x:c>
      <x:c r="AC29" s="9" t="n">
        <x:f>SUMPRODUCT(B29:AA29,$B$36:$AA$36)</x:f>
        <x:v>-1.538644767151709e-10</x:v>
      </x:c>
      <x:c r="AD29" s="9" t="n">
        <x:f>AC29-AB29</x:f>
        <x:v>-1.538644767151709e-10</x:v>
      </x:c>
      <x:c r="AE29" s="4" t="str">
        <x:f>IF(AC29+1E-6&gt;=AB29,"否","是")</x:f>
        <x:v>否</x:v>
      </x:c>
    </x:row>
    <x:row r="30">
      <x:c r="A30" s="4" t="str">
        <x:v>红瓶@1</x:v>
      </x:c>
      <x:c r="B30" s="9" t="n">
        <x:v>0</x:v>
      </x:c>
      <x:c r="C30" s="9" t="n">
        <x:v>0</x:v>
      </x:c>
      <x:c r="D30" s="9" t="n">
        <x:v>0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  <x:c r="I30" s="9" t="n">
        <x:v>0</x:v>
      </x:c>
      <x:c r="J30" s="9" t="n">
        <x:v>0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0.752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-0.812</x:v>
      </x:c>
      <x:c r="Y30" s="9" t="n">
        <x:v>0</x:v>
      </x:c>
      <x:c r="Z30" s="9" t="n">
        <x:v>0</x:v>
      </x:c>
      <x:c r="AA30" s="9" t="n">
        <x:v>0</x:v>
      </x:c>
      <x:c r="AB30" s="9" t="n">
        <x:v>0</x:v>
      </x:c>
      <x:c r="AC30" s="9" t="n">
        <x:f>SUMPRODUCT(B30:AA30,$B$36:$AA$36)</x:f>
        <x:v>-5.479705578181893e-10</x:v>
      </x:c>
      <x:c r="AD30" s="9" t="n">
        <x:f>AC30-AB30</x:f>
        <x:v>-5.479705578181893e-10</x:v>
      </x:c>
      <x:c r="AE30" s="4" t="str">
        <x:f>IF(AC30+1E-6&gt;=AB30,"否","是")</x:f>
        <x:v>否</x:v>
      </x:c>
    </x:row>
    <x:row r="31">
      <x:c r="A31" s="4" t="str">
        <x:v>红瓶@2</x:v>
      </x:c>
      <x:c r="B31" s="9" t="n">
        <x:v>0</x:v>
      </x:c>
      <x:c r="C31" s="9" t="n">
        <x:v>0</x:v>
      </x:c>
      <x:c r="D31" s="9" t="n">
        <x:v>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0.2232</x:v>
      </x:c>
      <x:c r="T31" s="9" t="n">
        <x:v>0.752</x:v>
      </x:c>
      <x:c r="U31" s="9" t="n">
        <x:v>0</x:v>
      </x:c>
      <x:c r="V31" s="9" t="n">
        <x:v>0</x:v>
      </x:c>
      <x:c r="W31" s="9" t="n">
        <x:v>0</x:v>
      </x:c>
      <x:c r="X31" s="9" t="n">
        <x:v>0.0558</x:v>
      </x:c>
      <x:c r="Y31" s="9" t="n">
        <x:v>-0.812</x:v>
      </x:c>
      <x:c r="Z31" s="9" t="n">
        <x:v>0</x:v>
      </x:c>
      <x:c r="AA31" s="9" t="n">
        <x:v>0</x:v>
      </x:c>
      <x:c r="AB31" s="9" t="n">
        <x:v>0</x:v>
      </x:c>
      <x:c r="AC31" s="9" t="n">
        <x:f>SUMPRODUCT(B31:AA31,$B$36:$AA$36)</x:f>
        <x:v>1.4415491023100913e-10</x:v>
      </x:c>
      <x:c r="AD31" s="9" t="n">
        <x:f>AC31-AB31</x:f>
        <x:v>1.4415491023100913e-10</x:v>
      </x:c>
      <x:c r="AE31" s="4" t="str">
        <x:f>IF(AC31+1E-6&gt;=AB31,"否","是")</x:f>
        <x:v>否</x:v>
      </x:c>
    </x:row>
    <x:row r="32">
      <x:c r="A32" s="4" t="str">
        <x:v>红瓶@3</x:v>
      </x:c>
      <x:c r="B32" s="9" t="n">
        <x:v>0</x:v>
      </x:c>
      <x:c r="C32" s="9" t="n">
        <x:v>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0.02232</x:v>
      </x:c>
      <x:c r="T32" s="9" t="n">
        <x:v>0.2232</x:v>
      </x:c>
      <x:c r="U32" s="9" t="n">
        <x:v>0.752</x:v>
      </x:c>
      <x:c r="V32" s="9" t="n">
        <x:v>0</x:v>
      </x:c>
      <x:c r="W32" s="9" t="n">
        <x:v>0</x:v>
      </x:c>
      <x:c r="X32" s="9" t="n">
        <x:v>0.00558</x:v>
      </x:c>
      <x:c r="Y32" s="9" t="n">
        <x:v>0.0558</x:v>
      </x:c>
      <x:c r="Z32" s="9" t="n">
        <x:v>-0.812</x:v>
      </x:c>
      <x:c r="AA32" s="9" t="n">
        <x:v>0</x:v>
      </x:c>
      <x:c r="AB32" s="9" t="n">
        <x:v>0</x:v>
      </x:c>
      <x:c r="AC32" s="9" t="n">
        <x:f>SUMPRODUCT(B32:AA32,$B$36:$AA$36)</x:f>
        <x:v>-4.665707820095122e-10</x:v>
      </x:c>
      <x:c r="AD32" s="9" t="n">
        <x:f>AC32-AB32</x:f>
        <x:v>-4.665707820095122e-10</x:v>
      </x:c>
      <x:c r="AE32" s="4" t="str">
        <x:f>IF(AC32+1E-6&gt;=AB32,"否","是")</x:f>
        <x:v>否</x:v>
      </x:c>
    </x:row>
    <x:row r="33">
      <x:c r="A33" s="4" t="str">
        <x:v>红瓶@4</x:v>
      </x:c>
      <x:c r="B33" s="9" t="n">
        <x:v>0</x:v>
      </x:c>
      <x:c r="C33" s="9" t="n">
        <x:v>0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9" t="n">
        <x:v>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0.002232</x:v>
      </x:c>
      <x:c r="T33" s="9" t="n">
        <x:v>0.02232</x:v>
      </x:c>
      <x:c r="U33" s="9" t="n">
        <x:v>0.2232</x:v>
      </x:c>
      <x:c r="V33" s="9" t="n">
        <x:v>0.752</x:v>
      </x:c>
      <x:c r="W33" s="9" t="n">
        <x:v>0</x:v>
      </x:c>
      <x:c r="X33" s="9" t="n">
        <x:v>0.000558</x:v>
      </x:c>
      <x:c r="Y33" s="9" t="n">
        <x:v>0.00558</x:v>
      </x:c>
      <x:c r="Z33" s="9" t="n">
        <x:v>0.0558</x:v>
      </x:c>
      <x:c r="AA33" s="9" t="n">
        <x:v>-0.812</x:v>
      </x:c>
      <x:c r="AB33" s="9" t="n">
        <x:v>0</x:v>
      </x:c>
      <x:c r="AC33" s="9" t="n">
        <x:f>SUMPRODUCT(B33:AA33,$B$36:$AA$36)</x:f>
        <x:v>-6.02682348471717e-10</x:v>
      </x:c>
      <x:c r="AD33" s="9" t="n">
        <x:f>AC33-AB33</x:f>
        <x:v>-6.02682348471717e-10</x:v>
      </x:c>
      <x:c r="AE33" s="4" t="str">
        <x:f>IF(AC33+1E-6&gt;=AB33,"否","是")</x:f>
        <x:v>否</x:v>
      </x:c>
    </x:row>
    <x:row r="34">
      <x:c r="A34" s="4" t="str">
        <x:v>红瓶@5</x:v>
      </x:c>
      <x:c r="B34" s="9" t="n">
        <x:v>0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0.000248</x:v>
      </x:c>
      <x:c r="T34" s="9" t="n">
        <x:v>0.00248</x:v>
      </x:c>
      <x:c r="U34" s="9" t="n">
        <x:v>0.0248</x:v>
      </x:c>
      <x:c r="V34" s="9" t="n">
        <x:v>0.248</x:v>
      </x:c>
      <x:c r="W34" s="9" t="n">
        <x:v>1</x:v>
      </x:c>
      <x:c r="X34" s="9" t="n">
        <x:v>0.000062</x:v>
      </x:c>
      <x:c r="Y34" s="9" t="n">
        <x:v>0.00062</x:v>
      </x:c>
      <x:c r="Z34" s="9" t="n">
        <x:v>0.0062</x:v>
      </x:c>
      <x:c r="AA34" s="9" t="n">
        <x:v>0.062</x:v>
      </x:c>
      <x:c r="AB34" s="9" t="n">
        <x:v>60</x:v>
      </x:c>
      <x:c r="AC34" s="9" t="n">
        <x:f>SUMPRODUCT(B34:AA34,$B$36:$AA$36)</x:f>
        <x:v>60.00000000022304</x:v>
      </x:c>
      <x:c r="AD34" s="9" t="n">
        <x:f>AC34-AB34</x:f>
        <x:v>2.2303936475509545e-10</x:v>
      </x:c>
      <x:c r="AE34" s="4" t="str">
        <x:f>IF(AC34+1E-6&gt;=AB34,"否","是")</x:f>
        <x:v>否</x:v>
      </x:c>
    </x:row>
    <x:row r="36">
      <x:c r="A36" s="8" t="str">
        <x:v>过程执行次数</x:v>
      </x:c>
      <x:c r="B36" s="11" t="n">
        <x:v>9189.432979347</x:v>
      </x:c>
      <x:c r="C36" s="11" t="n">
        <x:v>7734.034889371</x:v>
      </x:c>
      <x:c r="D36" s="11" t="n">
        <x:v>7480.198445188</x:v>
      </x:c>
      <x:c r="E36" s="11" t="n">
        <x:v>1538.311080743</x:v>
      </x:c>
      <x:c r="F36" s="11" t="n">
        <x:v>153.831108074</x:v>
      </x:c>
      <x:c r="G36" s="11" t="n">
        <x:v>15.383110807</x:v>
      </x:c>
      <x:c r="H36" s="11" t="n">
        <x:v>1.709234534</x:v>
      </x:c>
      <x:c r="I36" s="11" t="n">
        <x:v>6295.504399948</x:v>
      </x:c>
      <x:c r="J36" s="11" t="n">
        <x:v>1294.677440481</x:v>
      </x:c>
      <x:c r="K36" s="11" t="n">
        <x:v>129.467744048</x:v>
      </x:c>
      <x:c r="L36" s="11" t="n">
        <x:v>0</x:v>
      </x:c>
      <x:c r="M36" s="11" t="n">
        <x:v>0</x:v>
      </x:c>
      <x:c r="N36" s="11" t="n">
        <x:v>2757.430927177</x:v>
      </x:c>
      <x:c r="O36" s="11" t="n">
        <x:v>918.357864448</x:v>
      </x:c>
      <x:c r="P36" s="11" t="n">
        <x:v>164.078787624</x:v>
      </x:c>
      <x:c r="Q36" s="11" t="n">
        <x:v>0</x:v>
      </x:c>
      <x:c r="R36" s="11" t="n">
        <x:v>1.328772055</x:v>
      </x:c>
      <x:c r="S36" s="11" t="n">
        <x:v>2073.588057237</x:v>
      </x:c>
      <x:c r="T36" s="11" t="n">
        <x:v>1306.063697011</x:v>
      </x:c>
      <x:c r="U36" s="11" t="n">
        <x:v>389.910581932</x:v>
      </x:c>
      <x:c r="V36" s="11" t="n">
        <x:v>56.158609854</x:v>
      </x:c>
      <x:c r="W36" s="11" t="n">
        <x:v>8.359296362</x:v>
      </x:c>
      <x:c r="X36" s="11" t="n">
        <x:v>1920.367264831</x:v>
      </x:c>
      <x:c r="Y36" s="11" t="n">
        <x:v>1911.503999883</x:v>
      </x:c>
      <x:c r="Z36" s="11" t="n">
        <x:v>921.657922112</x:v>
      </x:c>
      <x:c r="AA36" s="11" t="n">
        <x:v>278.577803037</x:v>
      </x:c>
      <x:c r="AB36" s="8" t="str"/>
      <x:c r="AC36" s="8" t="str"/>
      <x:c r="AD36" s="8" t="str"/>
      <x:c r="AE36" s="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09999656677246" hidden="0" customWidth="1"/>
    <x:col min="2" max="2" width="12.220000267028809" hidden="0" customWidth="1"/>
    <x:col min="3" max="3" width="8.670000076293945" hidden="0" customWidth="1"/>
    <x:col min="4" max="4" width="3.109999895095825" hidden="0" customWidth="1"/>
    <x:col min="5" max="5" width="3.109999895095825" hidden="0" customWidth="1"/>
    <x:col min="6" max="6" width="10" hidden="0" customWidth="1"/>
    <x:col min="7" max="7" width="9.109999656677246" hidden="0" customWidth="1"/>
    <x:col min="8" max="8" width="12.220000267028809" hidden="0" customWidth="1"/>
    <x:col min="9" max="9" width="12.220000267028809" hidden="0" customWidth="1"/>
    <x:col min="10" max="10" width="8.670000076293945" hidden="0" customWidth="1"/>
  </x:cols>
  <x:sheetData>
    <x:row r="1">
      <x:c r="A1" s="1" t="str">
        <x:v>可行解_无回收</x:v>
      </x:c>
    </x:row>
    <x:row r="2">
      <x:c r="A2" s="2" t="str">
        <x:v>目标只有红瓶@5 &gt;= 60/min；本页是一组可行解和平衡校验，不声明蓝图优化。</x:v>
      </x:c>
    </x:row>
    <x:row r="5">
      <x:c r="A5" s="8" t="str">
        <x:v>过程</x:v>
      </x:c>
      <x:c r="B5" s="8" t="str">
        <x:v>执行次数</x:v>
      </x:c>
      <x:c r="C5" s="8" t="str">
        <x:v>单位</x:v>
      </x:c>
      <x:c r="F5" s="8" t="str">
        <x:v>物料</x:v>
      </x:c>
      <x:c r="G5" s="8" t="str">
        <x:v>目标</x:v>
      </x:c>
      <x:c r="H5" s="8" t="str">
        <x:v>平衡产出</x:v>
      </x:c>
      <x:c r="I5" s="8" t="str">
        <x:v>剩余/超额</x:v>
      </x:c>
      <x:c r="J5" s="8" t="str">
        <x:v>校验</x:v>
      </x:c>
    </x:row>
    <x:row r="6">
      <x:c r="A6" s="4" t="str">
        <x:v>采铜矿</x:v>
      </x:c>
      <x:c r="B6" s="9" t="n">
        <x:v>17455.047297483</x:v>
      </x:c>
      <x:c r="C6" s="4" t="str">
        <x:v>次/分钟</x:v>
      </x:c>
      <x:c r="F6" s="4" t="str">
        <x:v>铜矿@1</x:v>
      </x:c>
      <x:c r="G6" s="9" t="n">
        <x:v>0</x:v>
      </x:c>
      <x:c r="H6" s="9" t="n">
        <x:f>'完整矩阵_无回收'!Y5</x:f>
        <x:v>1.6189005691558123e-10</x:v>
      </x:c>
      <x:c r="I6" s="9" t="n">
        <x:f>'完整矩阵_无回收'!Z5</x:f>
        <x:v>1.6189005691558123e-10</x:v>
      </x:c>
      <x:c r="J6" s="4" t="str">
        <x:f>IF('完整矩阵_无回收'!AA5="否","通过","短缺")</x:f>
        <x:v>通过</x:v>
      </x:c>
    </x:row>
    <x:row r="7">
      <x:c r="A7" s="4" t="str">
        <x:v>采铁矿</x:v>
      </x:c>
      <x:c r="B7" s="9" t="n">
        <x:v>10179.40930285</x:v>
      </x:c>
      <x:c r="C7" s="4" t="str">
        <x:v>次/分钟</x:v>
      </x:c>
      <x:c r="F7" s="4" t="str">
        <x:v>铜矿@2</x:v>
      </x:c>
      <x:c r="G7" s="9" t="n">
        <x:v>0</x:v>
      </x:c>
      <x:c r="H7" s="9" t="n">
        <x:f>'完整矩阵_无回收'!Y6</x:f>
        <x:v>-3.4560798667371273e-10</x:v>
      </x:c>
      <x:c r="I7" s="9" t="n">
        <x:f>'完整矩阵_无回收'!Z6</x:f>
        <x:v>-3.4560798667371273e-10</x:v>
      </x:c>
      <x:c r="J7" s="4" t="str">
        <x:f>IF('完整矩阵_无回收'!AA6="否","通过","短缺")</x:f>
        <x:v>通过</x:v>
      </x:c>
    </x:row>
    <x:row r="8">
      <x:c r="A8" s="4" t="str">
        <x:v>冶铜板@1</x:v>
      </x:c>
      <x:c r="B8" s="9" t="n">
        <x:v>14208.408500151</x:v>
      </x:c>
      <x:c r="C8" s="4" t="str">
        <x:v>次/分钟</x:v>
      </x:c>
      <x:c r="F8" s="4" t="str">
        <x:v>铜矿@3</x:v>
      </x:c>
      <x:c r="G8" s="9" t="n">
        <x:v>0</x:v>
      </x:c>
      <x:c r="H8" s="9" t="n">
        <x:f>'完整矩阵_无回收'!Y7</x:f>
        <x:v>-1.3454837244353257e-10</x:v>
      </x:c>
      <x:c r="I8" s="9" t="n">
        <x:f>'完整矩阵_无回收'!Z7</x:f>
        <x:v>-1.3454837244353257e-10</x:v>
      </x:c>
      <x:c r="J8" s="4" t="str">
        <x:f>IF('完整矩阵_无回收'!AA7="否","通过","短缺")</x:f>
        <x:v>通过</x:v>
      </x:c>
    </x:row>
    <x:row r="9">
      <x:c r="A9" s="4" t="str">
        <x:v>冶铜板@2</x:v>
      </x:c>
      <x:c r="B9" s="9" t="n">
        <x:v>2921.974917599</x:v>
      </x:c>
      <x:c r="C9" s="4" t="str">
        <x:v>次/分钟</x:v>
      </x:c>
      <x:c r="F9" s="4" t="str">
        <x:v>铜矿@4</x:v>
      </x:c>
      <x:c r="G9" s="9" t="n">
        <x:v>0</x:v>
      </x:c>
      <x:c r="H9" s="9" t="n">
        <x:f>'完整矩阵_无回收'!Y8</x:f>
        <x:v>-1.3457679415296298e-11</x:v>
      </x:c>
      <x:c r="I9" s="9" t="n">
        <x:f>'完整矩阵_无回收'!Z8</x:f>
        <x:v>-1.3457679415296298e-11</x:v>
      </x:c>
      <x:c r="J9" s="4" t="str">
        <x:f>IF('完整矩阵_无回收'!AA8="否","通过","短缺")</x:f>
        <x:v>通过</x:v>
      </x:c>
    </x:row>
    <x:row r="10">
      <x:c r="A10" s="4" t="str">
        <x:v>冶铜板@3</x:v>
      </x:c>
      <x:c r="B10" s="9" t="n">
        <x:v>292.19749176</x:v>
      </x:c>
      <x:c r="C10" s="4" t="str">
        <x:v>次/分钟</x:v>
      </x:c>
      <x:c r="F10" s="4" t="str">
        <x:v>铜矿@5</x:v>
      </x:c>
      <x:c r="G10" s="9" t="n">
        <x:v>0</x:v>
      </x:c>
      <x:c r="H10" s="9" t="n">
        <x:f>'完整矩阵_无回收'!Y9</x:f>
        <x:v>3.3183811254389184e-10</x:v>
      </x:c>
      <x:c r="I10" s="9" t="n">
        <x:f>'完整矩阵_无回收'!Z9</x:f>
        <x:v>3.3183811254389184e-10</x:v>
      </x:c>
      <x:c r="J10" s="4" t="str">
        <x:f>IF('完整矩阵_无回收'!AA9="否","通过","短缺")</x:f>
        <x:v>通过</x:v>
      </x:c>
    </x:row>
    <x:row r="11">
      <x:c r="A11" s="4" t="str">
        <x:v>冶铜板@4</x:v>
      </x:c>
      <x:c r="B11" s="9" t="n">
        <x:v>29.219749176</x:v>
      </x:c>
      <x:c r="C11" s="4" t="str">
        <x:v>次/分钟</x:v>
      </x:c>
      <x:c r="F11" s="4" t="str">
        <x:v>铁矿@1</x:v>
      </x:c>
      <x:c r="G11" s="9" t="n">
        <x:v>0</x:v>
      </x:c>
      <x:c r="H11" s="9" t="n">
        <x:f>'完整矩阵_无回收'!Y10</x:f>
        <x:v>-1.0186340659856796e-10</x:v>
      </x:c>
      <x:c r="I11" s="9" t="n">
        <x:f>'完整矩阵_无回收'!Z10</x:f>
        <x:v>-1.0186340659856796e-10</x:v>
      </x:c>
      <x:c r="J11" s="4" t="str">
        <x:f>IF('完整矩阵_无回收'!AA10="否","通过","短缺")</x:f>
        <x:v>通过</x:v>
      </x:c>
    </x:row>
    <x:row r="12">
      <x:c r="A12" s="4" t="str">
        <x:v>冶铜板@5</x:v>
      </x:c>
      <x:c r="B12" s="9" t="n">
        <x:v>3.246638797</x:v>
      </x:c>
      <x:c r="C12" s="4" t="str">
        <x:v>次/分钟</x:v>
      </x:c>
      <x:c r="F12" s="4" t="str">
        <x:v>铁矿@2</x:v>
      </x:c>
      <x:c r="G12" s="9" t="n">
        <x:v>0</x:v>
      </x:c>
      <x:c r="H12" s="9" t="n">
        <x:f>'完整矩阵_无回收'!Y11</x:f>
        <x:v>8.981260180007666e-11</x:v>
      </x:c>
      <x:c r="I12" s="9" t="n">
        <x:f>'完整矩阵_无回收'!Z11</x:f>
        <x:v>8.981260180007666e-11</x:v>
      </x:c>
      <x:c r="J12" s="4" t="str">
        <x:f>IF('完整矩阵_无回收'!AA11="否","通过","短缺")</x:f>
        <x:v>通过</x:v>
      </x:c>
    </x:row>
    <x:row r="13">
      <x:c r="A13" s="4" t="str">
        <x:v>冶铁板@1</x:v>
      </x:c>
      <x:c r="B13" s="9" t="n">
        <x:v>8286.03917252</x:v>
      </x:c>
      <x:c r="C13" s="4" t="str">
        <x:v>次/分钟</x:v>
      </x:c>
      <x:c r="F13" s="4" t="str">
        <x:v>铁矿@3</x:v>
      </x:c>
      <x:c r="G13" s="9" t="n">
        <x:v>0</x:v>
      </x:c>
      <x:c r="H13" s="9" t="n">
        <x:f>'完整矩阵_无回收'!Y12</x:f>
        <x:v>-2.9100988285790663e-10</x:v>
      </x:c>
      <x:c r="I13" s="9" t="n">
        <x:f>'完整矩阵_无回收'!Z12</x:f>
        <x:v>-2.9100988285790663e-10</x:v>
      </x:c>
      <x:c r="J13" s="4" t="str">
        <x:f>IF('完整矩阵_无回收'!AA12="否","通过","短缺")</x:f>
        <x:v>通过</x:v>
      </x:c>
    </x:row>
    <x:row r="14">
      <x:c r="A14" s="4" t="str">
        <x:v>冶铁板@2</x:v>
      </x:c>
      <x:c r="B14" s="9" t="n">
        <x:v>1704.033117297</x:v>
      </x:c>
      <x:c r="C14" s="4" t="str">
        <x:v>次/分钟</x:v>
      </x:c>
      <x:c r="F14" s="4" t="str">
        <x:v>铁矿@4</x:v>
      </x:c>
      <x:c r="G14" s="9" t="n">
        <x:v>0</x:v>
      </x:c>
      <x:c r="H14" s="9" t="n">
        <x:f>'完整矩阵_无回收'!Y13</x:f>
        <x:v>-2.9100277743054903e-11</x:v>
      </x:c>
      <x:c r="I14" s="9" t="n">
        <x:f>'完整矩阵_无回收'!Z13</x:f>
        <x:v>-2.9100277743054903e-11</x:v>
      </x:c>
      <x:c r="J14" s="4" t="str">
        <x:f>IF('完整矩阵_无回收'!AA13="否","通过","短缺")</x:f>
        <x:v>通过</x:v>
      </x:c>
    </x:row>
    <x:row r="15">
      <x:c r="A15" s="4" t="str">
        <x:v>冶铁板@3</x:v>
      </x:c>
      <x:c r="B15" s="9" t="n">
        <x:v>170.40331173</x:v>
      </x:c>
      <x:c r="C15" s="4" t="str">
        <x:v>次/分钟</x:v>
      </x:c>
      <x:c r="F15" s="4" t="str">
        <x:v>铁矿@5</x:v>
      </x:c>
      <x:c r="G15" s="9" t="n">
        <x:v>0</x:v>
      </x:c>
      <x:c r="H15" s="9" t="n">
        <x:f>'完整矩阵_无回收'!Y14</x:f>
        <x:v>1.8933701303300998</x:v>
      </x:c>
      <x:c r="I15" s="9" t="n">
        <x:f>'完整矩阵_无回收'!Z14</x:f>
        <x:v>1.8933701303300998</x:v>
      </x:c>
      <x:c r="J15" s="4" t="str">
        <x:f>IF('完整矩阵_无回收'!AA14="否","通过","短缺")</x:f>
        <x:v>通过</x:v>
      </x:c>
    </x:row>
    <x:row r="16">
      <x:c r="A16" s="4" t="str">
        <x:v>冶铁板@4</x:v>
      </x:c>
      <x:c r="B16" s="9" t="n">
        <x:v>17.040331173</x:v>
      </x:c>
      <x:c r="C16" s="4" t="str">
        <x:v>次/分钟</x:v>
      </x:c>
      <x:c r="F16" s="4" t="str">
        <x:v>铜板@1</x:v>
      </x:c>
      <x:c r="G16" s="9" t="n">
        <x:v>0</x:v>
      </x:c>
      <x:c r="H16" s="9" t="n">
        <x:f>'完整矩阵_无回收'!Y15</x:f>
        <x:v>9717.343407644275</x:v>
      </x:c>
      <x:c r="I16" s="9" t="n">
        <x:f>'完整矩阵_无回收'!Z15</x:f>
        <x:v>9717.343407644275</x:v>
      </x:c>
      <x:c r="J16" s="4" t="str">
        <x:f>IF('完整矩阵_无回收'!AA15="否","通过","短缺")</x:f>
        <x:v>通过</x:v>
      </x:c>
    </x:row>
    <x:row r="17">
      <x:c r="A17" s="4" t="str">
        <x:v>冶铁板@5</x:v>
      </x:c>
      <x:c r="B17" s="9" t="n">
        <x:v>0</x:v>
      </x:c>
      <x:c r="C17" s="4" t="str">
        <x:v>次/分钟</x:v>
      </x:c>
      <x:c r="F17" s="4" t="str">
        <x:v>铜板@2</x:v>
      </x:c>
      <x:c r="G17" s="9" t="n">
        <x:v>0</x:v>
      </x:c>
      <x:c r="H17" s="9" t="n">
        <x:f>'完整矩阵_无回收'!Y16</x:f>
        <x:v>2426.288895880576</x:v>
      </x:c>
      <x:c r="I17" s="9" t="n">
        <x:f>'完整矩阵_无回收'!Z16</x:f>
        <x:v>2426.288895880576</x:v>
      </x:c>
      <x:c r="J17" s="4" t="str">
        <x:f>IF('完整矩阵_无回收'!AA16="否","通过","短缺")</x:f>
        <x:v>通过</x:v>
      </x:c>
    </x:row>
    <x:row r="18">
      <x:c r="A18" s="4" t="str">
        <x:v>造齿轮@1</x:v>
      </x:c>
      <x:c r="B18" s="9" t="n">
        <x:v>3629.285157564</x:v>
      </x:c>
      <x:c r="C18" s="4" t="str">
        <x:v>次/分钟</x:v>
      </x:c>
      <x:c r="F18" s="4" t="str">
        <x:v>铜板@3</x:v>
      </x:c>
      <x:c r="G18" s="9" t="n">
        <x:v>0</x:v>
      </x:c>
      <x:c r="H18" s="9" t="n">
        <x:f>'完整矩阵_无回收'!Y17</x:f>
        <x:v>227.4293583014936</x:v>
      </x:c>
      <x:c r="I18" s="9" t="n">
        <x:f>'完整矩阵_无回收'!Z17</x:f>
        <x:v>227.4293583014936</x:v>
      </x:c>
      <x:c r="J18" s="4" t="str">
        <x:f>IF('完整矩阵_无回收'!AA17="否","通过","短缺")</x:f>
        <x:v>通过</x:v>
      </x:c>
    </x:row>
    <x:row r="19">
      <x:c r="A19" s="4" t="str">
        <x:v>造齿轮@2</x:v>
      </x:c>
      <x:c r="B19" s="9" t="n">
        <x:v>1208.727491203</x:v>
      </x:c>
      <x:c r="C19" s="4" t="str">
        <x:v>次/分钟</x:v>
      </x:c>
      <x:c r="F19" s="4" t="str">
        <x:v>铜板@4</x:v>
      </x:c>
      <x:c r="G19" s="9" t="n">
        <x:v>0</x:v>
      </x:c>
      <x:c r="H19" s="9" t="n">
        <x:f>'完整矩阵_无回收'!Y18</x:f>
        <x:v>1.6534329461137531e-10</x:v>
      </x:c>
      <x:c r="I19" s="9" t="n">
        <x:f>'完整矩阵_无回收'!Z18</x:f>
        <x:v>1.6534329461137531e-10</x:v>
      </x:c>
      <x:c r="J19" s="4" t="str">
        <x:f>IF('完整矩阵_无回收'!AA18="否","通过","短缺")</x:f>
        <x:v>通过</x:v>
      </x:c>
    </x:row>
    <x:row r="20">
      <x:c r="A20" s="4" t="str">
        <x:v>造齿轮@3</x:v>
      </x:c>
      <x:c r="B20" s="9" t="n">
        <x:v>215.957797065</x:v>
      </x:c>
      <x:c r="C20" s="4" t="str">
        <x:v>次/分钟</x:v>
      </x:c>
      <x:c r="F20" s="4" t="str">
        <x:v>铜板@5</x:v>
      </x:c>
      <x:c r="G20" s="9" t="n">
        <x:v>0</x:v>
      </x:c>
      <x:c r="H20" s="9" t="n">
        <x:f>'完整矩阵_无回收'!Y19</x:f>
        <x:v>-5.10516073859435e-10</x:v>
      </x:c>
      <x:c r="I20" s="9" t="n">
        <x:f>'完整矩阵_无回收'!Z19</x:f>
        <x:v>-5.10516073859435e-10</x:v>
      </x:c>
      <x:c r="J20" s="4" t="str">
        <x:f>IF('完整矩阵_无回收'!AA19="否","通过","短缺")</x:f>
        <x:v>通过</x:v>
      </x:c>
    </x:row>
    <x:row r="21">
      <x:c r="A21" s="4" t="str">
        <x:v>造齿轮@4</x:v>
      </x:c>
      <x:c r="B21" s="9" t="n">
        <x:v>31.104284501</x:v>
      </x:c>
      <x:c r="C21" s="4" t="str">
        <x:v>次/分钟</x:v>
      </x:c>
      <x:c r="F21" s="4" t="str">
        <x:v>铁板@1</x:v>
      </x:c>
      <x:c r="G21" s="9" t="n">
        <x:v>0</x:v>
      </x:c>
      <x:c r="H21" s="9" t="n">
        <x:f>'完整矩阵_无回收'!Y20</x:f>
        <x:v>-4.802132025361061e-10</x:v>
      </x:c>
      <x:c r="I21" s="9" t="n">
        <x:f>'完整矩阵_无回收'!Z20</x:f>
        <x:v>-4.802132025361061e-10</x:v>
      </x:c>
      <x:c r="J21" s="4" t="str">
        <x:f>IF('完整矩阵_无回收'!AA20="否","通过","短缺")</x:f>
        <x:v>通过</x:v>
      </x:c>
    </x:row>
    <x:row r="22">
      <x:c r="A22" s="4" t="str">
        <x:v>造齿轮@5</x:v>
      </x:c>
      <x:c r="B22" s="9" t="n">
        <x:v>0</x:v>
      </x:c>
      <x:c r="C22" s="4" t="str">
        <x:v>次/分钟</x:v>
      </x:c>
      <x:c r="F22" s="4" t="str">
        <x:v>铁板@2</x:v>
      </x:c>
      <x:c r="G22" s="9" t="n">
        <x:v>0</x:v>
      </x:c>
      <x:c r="H22" s="9" t="n">
        <x:f>'完整矩阵_无回收'!Y21</x:f>
        <x:v>-5.95719029661268e-10</x:v>
      </x:c>
      <x:c r="I22" s="9" t="n">
        <x:f>'完整矩阵_无回收'!Z21</x:f>
        <x:v>-5.95719029661268e-10</x:v>
      </x:c>
      <x:c r="J22" s="4" t="str">
        <x:f>IF('完整矩阵_无回收'!AA21="否","通过","短缺")</x:f>
        <x:v>通过</x:v>
      </x:c>
    </x:row>
    <x:row r="23">
      <x:c r="A23" s="4" t="str">
        <x:v>造红瓶@1</x:v>
      </x:c>
      <x:c r="B23" s="9" t="n">
        <x:v>2729.222438488</x:v>
      </x:c>
      <x:c r="C23" s="4" t="str">
        <x:v>次/分钟</x:v>
      </x:c>
      <x:c r="F23" s="4" t="str">
        <x:v>铁板@3</x:v>
      </x:c>
      <x:c r="G23" s="9" t="n">
        <x:v>0</x:v>
      </x:c>
      <x:c r="H23" s="9" t="n">
        <x:f>'完整矩阵_无回收'!Y22</x:f>
        <x:v>1.1484075912449043e-9</x:v>
      </x:c>
      <x:c r="I23" s="9" t="n">
        <x:f>'完整矩阵_无回收'!Z22</x:f>
        <x:v>1.1484075912449043e-9</x:v>
      </x:c>
      <x:c r="J23" s="4" t="str">
        <x:f>IF('完整矩阵_无回收'!AA22="否","通过","短缺")</x:f>
        <x:v>通过</x:v>
      </x:c>
    </x:row>
    <x:row r="24">
      <x:c r="A24" s="4" t="str">
        <x:v>造红瓶@2</x:v>
      </x:c>
      <x:c r="B24" s="9" t="n">
        <x:v>1719.019520553</x:v>
      </x:c>
      <x:c r="C24" s="4" t="str">
        <x:v>次/分钟</x:v>
      </x:c>
      <x:c r="F24" s="4" t="str">
        <x:v>铁板@4</x:v>
      </x:c>
      <x:c r="G24" s="9" t="n">
        <x:v>0</x:v>
      </x:c>
      <x:c r="H24" s="9" t="n">
        <x:f>'完整矩阵_无回收'!Y23</x:f>
        <x:v>1.8284396219314658e-10</x:v>
      </x:c>
      <x:c r="I24" s="9" t="n">
        <x:f>'完整矩阵_无回收'!Z23</x:f>
        <x:v>1.8284396219314658e-10</x:v>
      </x:c>
      <x:c r="J24" s="4" t="str">
        <x:f>IF('完整矩阵_无回收'!AA23="否","通过","短缺")</x:f>
        <x:v>通过</x:v>
      </x:c>
    </x:row>
    <x:row r="25">
      <x:c r="A25" s="4" t="str">
        <x:v>造红瓶@3</x:v>
      </x:c>
      <x:c r="B25" s="9" t="n">
        <x:v>513.193884146</x:v>
      </x:c>
      <x:c r="C25" s="4" t="str">
        <x:v>次/分钟</x:v>
      </x:c>
      <x:c r="F25" s="4" t="str">
        <x:v>铁板@5</x:v>
      </x:c>
      <x:c r="G25" s="9" t="n">
        <x:v>0</x:v>
      </x:c>
      <x:c r="H25" s="9" t="n">
        <x:f>'完整矩阵_无回收'!Y24</x:f>
        <x:v>7.36647205374476</x:v>
      </x:c>
      <x:c r="I25" s="9" t="n">
        <x:f>'完整矩阵_无回收'!Z24</x:f>
        <x:v>7.36647205374476</x:v>
      </x:c>
      <x:c r="J25" s="4" t="str">
        <x:f>IF('完整矩阵_无回收'!AA24="否","通过","短缺")</x:f>
        <x:v>通过</x:v>
      </x:c>
    </x:row>
    <x:row r="26">
      <x:c r="A26" s="4" t="str">
        <x:v>造红瓶@4</x:v>
      </x:c>
      <x:c r="B26" s="9" t="n">
        <x:v>106.671564325</x:v>
      </x:c>
      <x:c r="C26" s="4" t="str">
        <x:v>次/分钟</x:v>
      </x:c>
      <x:c r="F26" s="4" t="str">
        <x:v>齿轮@1</x:v>
      </x:c>
      <x:c r="G26" s="9" t="n">
        <x:v>0</x:v>
      </x:c>
      <x:c r="H26" s="9" t="n">
        <x:f>'完整矩阵_无回收'!Y25</x:f>
        <x:v>1.2823875294998288e-10</x:v>
      </x:c>
      <x:c r="I26" s="9" t="n">
        <x:f>'完整矩阵_无回收'!Z25</x:f>
        <x:v>1.2823875294998288e-10</x:v>
      </x:c>
      <x:c r="J26" s="4" t="str">
        <x:f>IF('完整矩阵_无回收'!AA25="否","通过","短缺")</x:f>
        <x:v>通过</x:v>
      </x:c>
    </x:row>
    <x:row r="27">
      <x:c r="A27" s="4" t="str">
        <x:v>造红瓶@5</x:v>
      </x:c>
      <x:c r="B27" s="9" t="n">
        <x:v>15.878228145</x:v>
      </x:c>
      <x:c r="C27" s="4" t="str">
        <x:v>次/分钟</x:v>
      </x:c>
      <x:c r="F27" s="4" t="str">
        <x:v>齿轮@2</x:v>
      </x:c>
      <x:c r="G27" s="9" t="n">
        <x:v>0</x:v>
      </x:c>
      <x:c r="H27" s="9" t="n">
        <x:f>'完整矩阵_无回收'!Y26</x:f>
        <x:v>-5.911715561524034e-11</x:v>
      </x:c>
      <x:c r="I27" s="9" t="n">
        <x:f>'完整矩阵_无回收'!Z26</x:f>
        <x:v>-5.911715561524034e-11</x:v>
      </x:c>
      <x:c r="J27" s="4" t="str">
        <x:f>IF('完整矩阵_无回收'!AA26="否","通过","短缺")</x:f>
        <x:v>通过</x:v>
      </x:c>
    </x:row>
    <x:row r="28">
      <x:c r="F28" s="4" t="str">
        <x:v>齿轮@3</x:v>
      </x:c>
      <x:c r="G28" s="9" t="n">
        <x:v>0</x:v>
      </x:c>
      <x:c r="H28" s="9" t="n">
        <x:f>'完整矩阵_无回收'!Y27</x:f>
        <x:v>2.1816504158778116e-10</x:v>
      </x:c>
      <x:c r="I28" s="9" t="n">
        <x:f>'完整矩阵_无回收'!Z27</x:f>
        <x:v>2.1816504158778116e-10</x:v>
      </x:c>
      <x:c r="J28" s="4" t="str">
        <x:f>IF('完整矩阵_无回收'!AA27="否","通过","短缺")</x:f>
        <x:v>通过</x:v>
      </x:c>
    </x:row>
    <x:row r="29">
      <x:c r="F29" s="4" t="str">
        <x:v>齿轮@4</x:v>
      </x:c>
      <x:c r="G29" s="9" t="n">
        <x:v>0</x:v>
      </x:c>
      <x:c r="H29" s="9" t="n">
        <x:f>'完整矩阵_无回收'!Y28</x:f>
        <x:v>-6.210143510543276e-12</x:v>
      </x:c>
      <x:c r="I29" s="9" t="n">
        <x:f>'完整矩阵_无回收'!Z28</x:f>
        <x:v>-6.210143510543276e-12</x:v>
      </x:c>
      <x:c r="J29" s="4" t="str">
        <x:f>IF('完整矩阵_无回收'!AA28="否","通过","短缺")</x:f>
        <x:v>通过</x:v>
      </x:c>
    </x:row>
    <x:row r="30">
      <x:c r="F30" s="4" t="str">
        <x:v>齿轮@5</x:v>
      </x:c>
      <x:c r="G30" s="9" t="n">
        <x:v>0</x:v>
      </x:c>
      <x:c r="H30" s="9" t="n">
        <x:f>'完整矩阵_无回收'!Y29</x:f>
        <x:v>1.089094675719311</x:v>
      </x:c>
      <x:c r="I30" s="9" t="n">
        <x:f>'完整矩阵_无回收'!Z29</x:f>
        <x:v>1.089094675719311</x:v>
      </x:c>
      <x:c r="J30" s="4" t="str">
        <x:f>IF('完整矩阵_无回收'!AA29="否","通过","短缺")</x:f>
        <x:v>通过</x:v>
      </x:c>
    </x:row>
    <x:row r="31">
      <x:c r="F31" s="4" t="str">
        <x:v>红瓶@1</x:v>
      </x:c>
      <x:c r="G31" s="9" t="n">
        <x:v>0</x:v>
      </x:c>
      <x:c r="H31" s="9" t="n">
        <x:f>'完整矩阵_无回收'!Y30</x:f>
        <x:v>2052.375273742976</x:v>
      </x:c>
      <x:c r="I31" s="9" t="n">
        <x:f>'完整矩阵_无回收'!Z30</x:f>
        <x:v>2052.375273742976</x:v>
      </x:c>
      <x:c r="J31" s="4" t="str">
        <x:f>IF('完整矩阵_无回收'!AA30="否","通过","短缺")</x:f>
        <x:v>通过</x:v>
      </x:c>
    </x:row>
    <x:row r="32">
      <x:c r="F32" s="4" t="str">
        <x:v>红瓶@2</x:v>
      </x:c>
      <x:c r="G32" s="9" t="n">
        <x:v>0</x:v>
      </x:c>
      <x:c r="H32" s="9" t="n">
        <x:f>'完整矩阵_无回收'!Y31</x:f>
        <x:v>1901.8651277263775</x:v>
      </x:c>
      <x:c r="I32" s="9" t="n">
        <x:f>'完整矩阵_无回收'!Z31</x:f>
        <x:v>1901.8651277263775</x:v>
      </x:c>
      <x:c r="J32" s="4" t="str">
        <x:f>IF('完整矩阵_无回收'!AA31="否","通过","短缺")</x:f>
        <x:v>通过</x:v>
      </x:c>
    </x:row>
    <x:row r="33">
      <x:c r="F33" s="4" t="str">
        <x:v>红瓶@3</x:v>
      </x:c>
      <x:c r="G33" s="9" t="n">
        <x:v>0</x:v>
      </x:c>
      <x:c r="H33" s="9" t="n">
        <x:f>'完整矩阵_无回收'!Y32</x:f>
        <x:v>830.5232026922737</x:v>
      </x:c>
      <x:c r="I33" s="9" t="n">
        <x:f>'完整矩阵_无回收'!Z32</x:f>
        <x:v>830.5232026922737</x:v>
      </x:c>
      <x:c r="J33" s="4" t="str">
        <x:f>IF('完整矩阵_无回收'!AA32="否","通过","短缺")</x:f>
        <x:v>通过</x:v>
      </x:c>
    </x:row>
    <x:row r="34">
      <x:c r="F34" s="4" t="str">
        <x:v>红瓶@4</x:v>
      </x:c>
      <x:c r="G34" s="9" t="n">
        <x:v>0</x:v>
      </x:c>
      <x:c r="H34" s="9" t="n">
        <x:f>'完整矩阵_无回收'!Y33</x:f>
        <x:v>239.22203149523534</x:v>
      </x:c>
      <x:c r="I34" s="9" t="n">
        <x:f>'完整矩阵_无回收'!Z33</x:f>
        <x:v>239.22203149523534</x:v>
      </x:c>
      <x:c r="J34" s="4" t="str">
        <x:f>IF('完整矩阵_无回收'!AA33="否","通过","短缺")</x:f>
        <x:v>通过</x:v>
      </x:c>
    </x:row>
    <x:row r="35">
      <x:c r="F35" s="4" t="str">
        <x:v>红瓶@5</x:v>
      </x:c>
      <x:c r="G35" s="9" t="n">
        <x:v>60</x:v>
      </x:c>
      <x:c r="H35" s="9" t="n">
        <x:f>'完整矩阵_无回收'!Y34</x:f>
        <x:v>60.00000000013727</x:v>
      </x:c>
      <x:c r="I35" s="9" t="n">
        <x:f>'完整矩阵_无回收'!Z34</x:f>
        <x:v>1.3726975112149375e-10</x:v>
      </x:c>
      <x:c r="J35" s="4" t="str">
        <x:f>IF('完整矩阵_无回收'!AA34="否","通过","短缺")</x:f>
        <x:v>通过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.109999656677246" hidden="0" customWidth="1"/>
    <x:col min="2" max="2" width="12.220000267028809" hidden="0" customWidth="1"/>
    <x:col min="3" max="3" width="8.670000076293945" hidden="0" customWidth="1"/>
    <x:col min="4" max="4" width="3.109999895095825" hidden="0" customWidth="1"/>
    <x:col min="5" max="5" width="3.109999895095825" hidden="0" customWidth="1"/>
    <x:col min="6" max="6" width="10" hidden="0" customWidth="1"/>
    <x:col min="7" max="7" width="9.109999656677246" hidden="0" customWidth="1"/>
    <x:col min="8" max="8" width="12.220000267028809" hidden="0" customWidth="1"/>
    <x:col min="9" max="9" width="12.220000267028809" hidden="0" customWidth="1"/>
    <x:col min="10" max="10" width="8.670000076293945" hidden="0" customWidth="1"/>
  </x:cols>
  <x:sheetData>
    <x:row r="1">
      <x:c r="A1" s="1" t="str">
        <x:v>可行解_带回收</x:v>
      </x:c>
    </x:row>
    <x:row r="2">
      <x:c r="A2" s="2" t="str">
        <x:v>目标只有红瓶@5 &gt;= 60/min；本页是一组可行解和平衡校验，不声明蓝图优化。</x:v>
      </x:c>
    </x:row>
    <x:row r="5">
      <x:c r="A5" s="8" t="str">
        <x:v>过程</x:v>
      </x:c>
      <x:c r="B5" s="8" t="str">
        <x:v>执行次数</x:v>
      </x:c>
      <x:c r="C5" s="8" t="str">
        <x:v>单位</x:v>
      </x:c>
      <x:c r="F5" s="8" t="str">
        <x:v>物料</x:v>
      </x:c>
      <x:c r="G5" s="8" t="str">
        <x:v>目标</x:v>
      </x:c>
      <x:c r="H5" s="8" t="str">
        <x:v>平衡产出</x:v>
      </x:c>
      <x:c r="I5" s="8" t="str">
        <x:v>剩余/超额</x:v>
      </x:c>
      <x:c r="J5" s="8" t="str">
        <x:v>校验</x:v>
      </x:c>
    </x:row>
    <x:row r="6">
      <x:c r="A6" s="4" t="str">
        <x:v>采铜矿</x:v>
      </x:c>
      <x:c r="B6" s="9" t="n">
        <x:v>9189.432979347</x:v>
      </x:c>
      <x:c r="C6" s="4" t="str">
        <x:v>次/分钟</x:v>
      </x:c>
      <x:c r="F6" s="4" t="str">
        <x:v>铜矿@1</x:v>
      </x:c>
      <x:c r="G6" s="9" t="n">
        <x:v>0</x:v>
      </x:c>
      <x:c r="H6" s="9" t="n">
        <x:f>'完整矩阵_带回收'!AC5</x:f>
        <x:v>4.5838532969355583e-10</x:v>
      </x:c>
      <x:c r="I6" s="9" t="n">
        <x:f>'完整矩阵_带回收'!AD5</x:f>
        <x:v>4.5838532969355583e-10</x:v>
      </x:c>
      <x:c r="J6" s="4" t="str">
        <x:f>IF('完整矩阵_带回收'!AE5="否","通过","短缺")</x:f>
        <x:v>通过</x:v>
      </x:c>
    </x:row>
    <x:row r="7">
      <x:c r="A7" s="4" t="str">
        <x:v>采铁矿</x:v>
      </x:c>
      <x:c r="B7" s="9" t="n">
        <x:v>7734.034889371</x:v>
      </x:c>
      <x:c r="C7" s="4" t="str">
        <x:v>次/分钟</x:v>
      </x:c>
      <x:c r="F7" s="4" t="str">
        <x:v>铜矿@2</x:v>
      </x:c>
      <x:c r="G7" s="9" t="n">
        <x:v>0</x:v>
      </x:c>
      <x:c r="H7" s="9" t="n">
        <x:f>'完整矩阵_带回收'!AC6</x:f>
        <x:v>-3.121840563835576e-10</x:v>
      </x:c>
      <x:c r="I7" s="9" t="n">
        <x:f>'完整矩阵_带回收'!AD6</x:f>
        <x:v>-3.121840563835576e-10</x:v>
      </x:c>
      <x:c r="J7" s="4" t="str">
        <x:f>IF('完整矩阵_带回收'!AE6="否","通过","短缺")</x:f>
        <x:v>通过</x:v>
      </x:c>
    </x:row>
    <x:row r="8">
      <x:c r="A8" s="4" t="str">
        <x:v>冶铜板@1</x:v>
      </x:c>
      <x:c r="B8" s="9" t="n">
        <x:v>7480.198445188</x:v>
      </x:c>
      <x:c r="C8" s="4" t="str">
        <x:v>次/分钟</x:v>
      </x:c>
      <x:c r="F8" s="4" t="str">
        <x:v>铜矿@3</x:v>
      </x:c>
      <x:c r="G8" s="9" t="n">
        <x:v>0</x:v>
      </x:c>
      <x:c r="H8" s="9" t="n">
        <x:f>'完整矩阵_带回收'!AC7</x:f>
        <x:v>2.687841060833307e-10</x:v>
      </x:c>
      <x:c r="I8" s="9" t="n">
        <x:f>'完整矩阵_带回收'!AD7</x:f>
        <x:v>2.687841060833307e-10</x:v>
      </x:c>
      <x:c r="J8" s="4" t="str">
        <x:f>IF('完整矩阵_带回收'!AE7="否","通过","短缺")</x:f>
        <x:v>通过</x:v>
      </x:c>
    </x:row>
    <x:row r="9">
      <x:c r="A9" s="4" t="str">
        <x:v>冶铜板@2</x:v>
      </x:c>
      <x:c r="B9" s="9" t="n">
        <x:v>1538.311080743</x:v>
      </x:c>
      <x:c r="C9" s="4" t="str">
        <x:v>次/分钟</x:v>
      </x:c>
      <x:c r="F9" s="4" t="str">
        <x:v>铜矿@4</x:v>
      </x:c>
      <x:c r="G9" s="9" t="n">
        <x:v>0</x:v>
      </x:c>
      <x:c r="H9" s="9" t="n">
        <x:f>'完整矩阵_带回收'!AC8</x:f>
        <x:v>4.268780884331136e-10</x:v>
      </x:c>
      <x:c r="I9" s="9" t="n">
        <x:f>'完整矩阵_带回收'!AD8</x:f>
        <x:v>4.268780884331136e-10</x:v>
      </x:c>
      <x:c r="J9" s="4" t="str">
        <x:f>IF('完整矩阵_带回收'!AE8="否","通过","短缺")</x:f>
        <x:v>通过</x:v>
      </x:c>
    </x:row>
    <x:row r="10">
      <x:c r="A10" s="4" t="str">
        <x:v>冶铜板@3</x:v>
      </x:c>
      <x:c r="B10" s="9" t="n">
        <x:v>153.831108074</x:v>
      </x:c>
      <x:c r="C10" s="4" t="str">
        <x:v>次/分钟</x:v>
      </x:c>
      <x:c r="F10" s="4" t="str">
        <x:v>铜矿@5</x:v>
      </x:c>
      <x:c r="G10" s="9" t="n">
        <x:v>0</x:v>
      </x:c>
      <x:c r="H10" s="9" t="n">
        <x:f>'完整矩阵_带回收'!AC9</x:f>
        <x:v>1.585420683625216e-10</x:v>
      </x:c>
      <x:c r="I10" s="9" t="n">
        <x:f>'完整矩阵_带回收'!AD9</x:f>
        <x:v>1.585420683625216e-10</x:v>
      </x:c>
      <x:c r="J10" s="4" t="str">
        <x:f>IF('完整矩阵_带回收'!AE9="否","通过","短缺")</x:f>
        <x:v>通过</x:v>
      </x:c>
    </x:row>
    <x:row r="11">
      <x:c r="A11" s="4" t="str">
        <x:v>冶铜板@4</x:v>
      </x:c>
      <x:c r="B11" s="9" t="n">
        <x:v>15.383110807</x:v>
      </x:c>
      <x:c r="C11" s="4" t="str">
        <x:v>次/分钟</x:v>
      </x:c>
      <x:c r="F11" s="4" t="str">
        <x:v>铁矿@1</x:v>
      </x:c>
      <x:c r="G11" s="9" t="n">
        <x:v>0</x:v>
      </x:c>
      <x:c r="H11" s="9" t="n">
        <x:f>'完整矩阵_带回收'!AC10</x:f>
        <x:v>-7.275957614183426e-12</x:v>
      </x:c>
      <x:c r="I11" s="9" t="n">
        <x:f>'完整矩阵_带回收'!AD10</x:f>
        <x:v>-7.275957614183426e-12</x:v>
      </x:c>
      <x:c r="J11" s="4" t="str">
        <x:f>IF('完整矩阵_带回收'!AE10="否","通过","短缺")</x:f>
        <x:v>通过</x:v>
      </x:c>
    </x:row>
    <x:row r="12">
      <x:c r="A12" s="4" t="str">
        <x:v>冶铜板@5</x:v>
      </x:c>
      <x:c r="B12" s="9" t="n">
        <x:v>1.709234534</x:v>
      </x:c>
      <x:c r="C12" s="4" t="str">
        <x:v>次/分钟</x:v>
      </x:c>
      <x:c r="F12" s="4" t="str">
        <x:v>铁矿@2</x:v>
      </x:c>
      <x:c r="G12" s="9" t="n">
        <x:v>0</x:v>
      </x:c>
      <x:c r="H12" s="9" t="n">
        <x:f>'完整矩阵_带回收'!AC11</x:f>
        <x:v>-2.9467628337442875e-10</x:v>
      </x:c>
      <x:c r="I12" s="9" t="n">
        <x:f>'完整矩阵_带回收'!AD11</x:f>
        <x:v>-2.9467628337442875e-10</x:v>
      </x:c>
      <x:c r="J12" s="4" t="str">
        <x:f>IF('完整矩阵_带回收'!AE11="否","通过","短缺")</x:f>
        <x:v>通过</x:v>
      </x:c>
    </x:row>
    <x:row r="13">
      <x:c r="A13" s="4" t="str">
        <x:v>冶铁板@1</x:v>
      </x:c>
      <x:c r="B13" s="9" t="n">
        <x:v>6295.504399948</x:v>
      </x:c>
      <x:c r="C13" s="4" t="str">
        <x:v>次/分钟</x:v>
      </x:c>
      <x:c r="F13" s="4" t="str">
        <x:v>铁矿@3</x:v>
      </x:c>
      <x:c r="G13" s="9" t="n">
        <x:v>0</x:v>
      </x:c>
      <x:c r="H13" s="9" t="n">
        <x:f>'完整矩阵_带回收'!AC12</x:f>
        <x:v>7.057110451569315e-11</x:v>
      </x:c>
      <x:c r="I13" s="9" t="n">
        <x:f>'完整矩阵_带回收'!AD12</x:f>
        <x:v>7.057110451569315e-11</x:v>
      </x:c>
      <x:c r="J13" s="4" t="str">
        <x:f>IF('完整矩阵_带回收'!AE12="否","通过","短缺")</x:f>
        <x:v>通过</x:v>
      </x:c>
    </x:row>
    <x:row r="14">
      <x:c r="A14" s="4" t="str">
        <x:v>冶铁板@2</x:v>
      </x:c>
      <x:c r="B14" s="9" t="n">
        <x:v>1294.677440481</x:v>
      </x:c>
      <x:c r="C14" s="4" t="str">
        <x:v>次/分钟</x:v>
      </x:c>
      <x:c r="F14" s="4" t="str">
        <x:v>铁矿@4</x:v>
      </x:c>
      <x:c r="G14" s="9" t="n">
        <x:v>0</x:v>
      </x:c>
      <x:c r="H14" s="9" t="n">
        <x:f>'完整矩阵_带回收'!AC13</x:f>
        <x:v>12.946774404807053</x:v>
      </x:c>
      <x:c r="I14" s="9" t="n">
        <x:f>'完整矩阵_带回收'!AD13</x:f>
        <x:v>12.946774404807053</x:v>
      </x:c>
      <x:c r="J14" s="4" t="str">
        <x:f>IF('完整矩阵_带回收'!AE13="否","通过","短缺")</x:f>
        <x:v>通过</x:v>
      </x:c>
    </x:row>
    <x:row r="15">
      <x:c r="A15" s="4" t="str">
        <x:v>冶铁板@3</x:v>
      </x:c>
      <x:c r="B15" s="9" t="n">
        <x:v>129.467744048</x:v>
      </x:c>
      <x:c r="C15" s="4" t="str">
        <x:v>次/分钟</x:v>
      </x:c>
      <x:c r="F15" s="4" t="str">
        <x:v>铁矿@5</x:v>
      </x:c>
      <x:c r="G15" s="9" t="n">
        <x:v>0</x:v>
      </x:c>
      <x:c r="H15" s="9" t="n">
        <x:f>'完整矩阵_带回收'!AC14</x:f>
        <x:v>1.438530489423006</x:v>
      </x:c>
      <x:c r="I15" s="9" t="n">
        <x:f>'完整矩阵_带回收'!AD14</x:f>
        <x:v>1.438530489423006</x:v>
      </x:c>
      <x:c r="J15" s="4" t="str">
        <x:f>IF('完整矩阵_带回收'!AE14="否","通过","短缺")</x:f>
        <x:v>通过</x:v>
      </x:c>
    </x:row>
    <x:row r="16">
      <x:c r="A16" s="4" t="str">
        <x:v>冶铁板@4</x:v>
      </x:c>
      <x:c r="B16" s="9" t="n">
        <x:v>0</x:v>
      </x:c>
      <x:c r="C16" s="4" t="str">
        <x:v>次/分钟</x:v>
      </x:c>
      <x:c r="F16" s="4" t="str">
        <x:v>铜板@1</x:v>
      </x:c>
      <x:c r="G16" s="9" t="n">
        <x:v>0</x:v>
      </x:c>
      <x:c r="H16" s="9" t="n">
        <x:f>'完整矩阵_带回收'!AC15</x:f>
        <x:v>4479.065780747687</x:v>
      </x:c>
      <x:c r="I16" s="9" t="n">
        <x:f>'完整矩阵_带回收'!AD15</x:f>
        <x:v>4479.065780747687</x:v>
      </x:c>
      <x:c r="J16" s="4" t="str">
        <x:f>IF('完整矩阵_带回收'!AE15="否","通过","短缺")</x:f>
        <x:v>通过</x:v>
      </x:c>
    </x:row>
    <x:row r="17">
      <x:c r="A17" s="4" t="str">
        <x:v>冶铁板@5</x:v>
      </x:c>
      <x:c r="B17" s="9" t="n">
        <x:v>0</x:v>
      </x:c>
      <x:c r="C17" s="4" t="str">
        <x:v>次/分钟</x:v>
      </x:c>
      <x:c r="F17" s="4" t="str">
        <x:v>铜板@2</x:v>
      </x:c>
      <x:c r="G17" s="9" t="n">
        <x:v>0</x:v>
      </x:c>
      <x:c r="H17" s="9" t="n">
        <x:f>'完整矩阵_带回收'!AC16</x:f>
        <x:v>876.2869562028491</x:v>
      </x:c>
      <x:c r="I17" s="9" t="n">
        <x:f>'完整矩阵_带回收'!AD16</x:f>
        <x:v>876.2869562028491</x:v>
      </x:c>
      <x:c r="J17" s="4" t="str">
        <x:f>IF('完整矩阵_带回收'!AE16="否","通过","短缺")</x:f>
        <x:v>通过</x:v>
      </x:c>
    </x:row>
    <x:row r="18">
      <x:c r="A18" s="4" t="str">
        <x:v>造齿轮@1</x:v>
      </x:c>
      <x:c r="B18" s="9" t="n">
        <x:v>2757.430927177</x:v>
      </x:c>
      <x:c r="C18" s="4" t="str">
        <x:v>次/分钟</x:v>
      </x:c>
      <x:c r="F18" s="4" t="str">
        <x:v>铜板@3</x:v>
      </x:c>
      <x:c r="G18" s="9" t="n">
        <x:v>0</x:v>
      </x:c>
      <x:c r="H18" s="9" t="n">
        <x:f>'完整矩阵_带回收'!AC17</x:f>
        <x:v>4.087041816092096e-11</x:v>
      </x:c>
      <x:c r="I18" s="9" t="n">
        <x:f>'完整矩阵_带回收'!AD17</x:f>
        <x:v>4.087041816092096e-11</x:v>
      </x:c>
      <x:c r="J18" s="4" t="str">
        <x:f>IF('完整矩阵_带回收'!AE17="否","通过","短缺")</x:f>
        <x:v>通过</x:v>
      </x:c>
    </x:row>
    <x:row r="19">
      <x:c r="A19" s="4" t="str">
        <x:v>造齿轮@2</x:v>
      </x:c>
      <x:c r="B19" s="9" t="n">
        <x:v>918.357864448</x:v>
      </x:c>
      <x:c r="C19" s="4" t="str">
        <x:v>次/分钟</x:v>
      </x:c>
      <x:c r="F19" s="4" t="str">
        <x:v>铜板@4</x:v>
      </x:c>
      <x:c r="G19" s="9" t="n">
        <x:v>0</x:v>
      </x:c>
      <x:c r="H19" s="9" t="n">
        <x:f>'完整矩阵_带回收'!AC18</x:f>
        <x:v>-8.79083472682396e-11</x:v>
      </x:c>
      <x:c r="I19" s="9" t="n">
        <x:f>'完整矩阵_带回收'!AD18</x:f>
        <x:v>-8.79083472682396e-11</x:v>
      </x:c>
      <x:c r="J19" s="4" t="str">
        <x:f>IF('完整矩阵_带回收'!AE18="否","通过","短缺")</x:f>
        <x:v>通过</x:v>
      </x:c>
    </x:row>
    <x:row r="20">
      <x:c r="A20" s="4" t="str">
        <x:v>造齿轮@3</x:v>
      </x:c>
      <x:c r="B20" s="9" t="n">
        <x:v>164.078787624</x:v>
      </x:c>
      <x:c r="C20" s="4" t="str">
        <x:v>次/分钟</x:v>
      </x:c>
      <x:c r="F20" s="4" t="str">
        <x:v>铜板@5</x:v>
      </x:c>
      <x:c r="G20" s="9" t="n">
        <x:v>0</x:v>
      </x:c>
      <x:c r="H20" s="9" t="n">
        <x:f>'完整矩阵_带回收'!AC19</x:f>
        <x:v>-4.897682259752401e-10</x:v>
      </x:c>
      <x:c r="I20" s="9" t="n">
        <x:f>'完整矩阵_带回收'!AD19</x:f>
        <x:v>-4.897682259752401e-10</x:v>
      </x:c>
      <x:c r="J20" s="4" t="str">
        <x:f>IF('完整矩阵_带回收'!AE19="否","通过","短缺")</x:f>
        <x:v>通过</x:v>
      </x:c>
    </x:row>
    <x:row r="21">
      <x:c r="A21" s="4" t="str">
        <x:v>造齿轮@4</x:v>
      </x:c>
      <x:c r="B21" s="9" t="n">
        <x:v>0</x:v>
      </x:c>
      <x:c r="C21" s="4" t="str">
        <x:v>次/分钟</x:v>
      </x:c>
      <x:c r="F21" s="4" t="str">
        <x:v>铁板@1</x:v>
      </x:c>
      <x:c r="G21" s="9" t="n">
        <x:v>0</x:v>
      </x:c>
      <x:c r="H21" s="9" t="n">
        <x:f>'完整矩阵_带回收'!AC20</x:f>
        <x:v>4.483808879740536e-10</x:v>
      </x:c>
      <x:c r="I21" s="9" t="n">
        <x:f>'完整矩阵_带回收'!AD20</x:f>
        <x:v>4.483808879740536e-10</x:v>
      </x:c>
      <x:c r="J21" s="4" t="str">
        <x:f>IF('完整矩阵_带回收'!AE20="否","通过","短缺")</x:f>
        <x:v>通过</x:v>
      </x:c>
    </x:row>
    <x:row r="22">
      <x:c r="A22" s="4" t="str">
        <x:v>造齿轮@5</x:v>
      </x:c>
      <x:c r="B22" s="9" t="n">
        <x:v>1.328772055</x:v>
      </x:c>
      <x:c r="C22" s="4" t="str">
        <x:v>次/分钟</x:v>
      </x:c>
      <x:c r="F22" s="4" t="str">
        <x:v>铁板@2</x:v>
      </x:c>
      <x:c r="G22" s="9" t="n">
        <x:v>0</x:v>
      </x:c>
      <x:c r="H22" s="9" t="n">
        <x:f>'完整矩阵_带回收'!AC21</x:f>
        <x:v>-4.46789272245951e-10</x:v>
      </x:c>
      <x:c r="I22" s="9" t="n">
        <x:f>'完整矩阵_带回收'!AD21</x:f>
        <x:v>-4.46789272245951e-10</x:v>
      </x:c>
      <x:c r="J22" s="4" t="str">
        <x:f>IF('完整矩阵_带回收'!AE21="否","通过","短缺")</x:f>
        <x:v>通过</x:v>
      </x:c>
    </x:row>
    <x:row r="23">
      <x:c r="A23" s="4" t="str">
        <x:v>造红瓶@1</x:v>
      </x:c>
      <x:c r="B23" s="9" t="n">
        <x:v>2073.588057237</x:v>
      </x:c>
      <x:c r="C23" s="4" t="str">
        <x:v>次/分钟</x:v>
      </x:c>
      <x:c r="F23" s="4" t="str">
        <x:v>铁板@3</x:v>
      </x:c>
      <x:c r="G23" s="9" t="n">
        <x:v>0</x:v>
      </x:c>
      <x:c r="H23" s="9" t="n">
        <x:f>'完整矩阵_带回收'!AC22</x:f>
        <x:v>-8.52708126330981e-10</x:v>
      </x:c>
      <x:c r="I23" s="9" t="n">
        <x:f>'完整矩阵_带回收'!AD22</x:f>
        <x:v>-8.52708126330981e-10</x:v>
      </x:c>
      <x:c r="J23" s="4" t="str">
        <x:f>IF('完整矩阵_带回收'!AE22="否","通过","短缺")</x:f>
        <x:v>通过</x:v>
      </x:c>
    </x:row>
    <x:row r="24">
      <x:c r="A24" s="4" t="str">
        <x:v>造红瓶@2</x:v>
      </x:c>
      <x:c r="B24" s="9" t="n">
        <x:v>1306.063697011</x:v>
      </x:c>
      <x:c r="C24" s="4" t="str">
        <x:v>次/分钟</x:v>
      </x:c>
      <x:c r="F24" s="4" t="str">
        <x:v>铁板@4</x:v>
      </x:c>
      <x:c r="G24" s="9" t="n">
        <x:v>0</x:v>
      </x:c>
      <x:c r="H24" s="9" t="n">
        <x:f>'完整矩阵_带回收'!AC23</x:f>
        <x:v>35.92298338186673</x:v>
      </x:c>
      <x:c r="I24" s="9" t="n">
        <x:f>'完整矩阵_带回收'!AD23</x:f>
        <x:v>35.92298338186673</x:v>
      </x:c>
      <x:c r="J24" s="4" t="str">
        <x:f>IF('完整矩阵_带回收'!AE23="否","通过","短缺")</x:f>
        <x:v>通过</x:v>
      </x:c>
    </x:row>
    <x:row r="25">
      <x:c r="A25" s="4" t="str">
        <x:v>造红瓶@3</x:v>
      </x:c>
      <x:c r="B25" s="9" t="n">
        <x:v>389.910581932</x:v>
      </x:c>
      <x:c r="C25" s="4" t="str">
        <x:v>次/分钟</x:v>
      </x:c>
      <x:c r="F25" s="4" t="str">
        <x:v>铁板@5</x:v>
      </x:c>
      <x:c r="G25" s="9" t="n">
        <x:v>0</x:v>
      </x:c>
      <x:c r="H25" s="9" t="n">
        <x:f>'完整矩阵_带回收'!AC24</x:f>
        <x:v>1.3338984879851918</x:v>
      </x:c>
      <x:c r="I25" s="9" t="n">
        <x:f>'完整矩阵_带回收'!AD24</x:f>
        <x:v>1.3338984879851918</x:v>
      </x:c>
      <x:c r="J25" s="4" t="str">
        <x:f>IF('完整矩阵_带回收'!AE24="否","通过","短缺")</x:f>
        <x:v>通过</x:v>
      </x:c>
    </x:row>
    <x:row r="26">
      <x:c r="A26" s="4" t="str">
        <x:v>造红瓶@4</x:v>
      </x:c>
      <x:c r="B26" s="9" t="n">
        <x:v>56.158609854</x:v>
      </x:c>
      <x:c r="C26" s="4" t="str">
        <x:v>次/分钟</x:v>
      </x:c>
      <x:c r="F26" s="4" t="str">
        <x:v>齿轮@1</x:v>
      </x:c>
      <x:c r="G26" s="9" t="n">
        <x:v>0</x:v>
      </x:c>
      <x:c r="H26" s="9" t="n">
        <x:f>'完整矩阵_带回收'!AC25</x:f>
        <x:v>1.0368239600211382e-10</x:v>
      </x:c>
      <x:c r="I26" s="9" t="n">
        <x:f>'完整矩阵_带回收'!AD25</x:f>
        <x:v>1.0368239600211382e-10</x:v>
      </x:c>
      <x:c r="J26" s="4" t="str">
        <x:f>IF('完整矩阵_带回收'!AE25="否","通过","短缺")</x:f>
        <x:v>通过</x:v>
      </x:c>
    </x:row>
    <x:row r="27">
      <x:c r="A27" s="4" t="str">
        <x:v>造红瓶@5</x:v>
      </x:c>
      <x:c r="B27" s="9" t="n">
        <x:v>8.359296362</x:v>
      </x:c>
      <x:c r="C27" s="4" t="str">
        <x:v>次/分钟</x:v>
      </x:c>
      <x:c r="F27" s="4" t="str">
        <x:v>齿轮@2</x:v>
      </x:c>
      <x:c r="G27" s="9" t="n">
        <x:v>0</x:v>
      </x:c>
      <x:c r="H27" s="9" t="n">
        <x:f>'完整矩阵_带回收'!AC26</x:f>
        <x:v>-1.9736035028472543e-10</x:v>
      </x:c>
      <x:c r="I27" s="9" t="n">
        <x:f>'完整矩阵_带回收'!AD26</x:f>
        <x:v>-1.9736035028472543e-10</x:v>
      </x:c>
      <x:c r="J27" s="4" t="str">
        <x:f>IF('完整矩阵_带回收'!AE26="否","通过","短缺")</x:f>
        <x:v>通过</x:v>
      </x:c>
    </x:row>
    <x:row r="28">
      <x:c r="A28" s="4" t="str">
        <x:v>回收红瓶@1</x:v>
      </x:c>
      <x:c r="B28" s="9" t="n">
        <x:v>1920.367264831</x:v>
      </x:c>
      <x:c r="C28" s="4" t="str">
        <x:v>次/分钟</x:v>
      </x:c>
      <x:c r="F28" s="4" t="str">
        <x:v>齿轮@3</x:v>
      </x:c>
      <x:c r="G28" s="9" t="n">
        <x:v>0</x:v>
      </x:c>
      <x:c r="H28" s="9" t="n">
        <x:f>'完整矩阵_带回收'!AC27</x:f>
        <x:v>6.322125045699067e-10</x:v>
      </x:c>
      <x:c r="I28" s="9" t="n">
        <x:f>'完整矩阵_带回收'!AD27</x:f>
        <x:v>6.322125045699067e-10</x:v>
      </x:c>
      <x:c r="J28" s="4" t="str">
        <x:f>IF('完整矩阵_带回收'!AE27="否","通过","短缺")</x:f>
        <x:v>通过</x:v>
      </x:c>
    </x:row>
    <x:row r="29">
      <x:c r="A29" s="4" t="str">
        <x:v>回收红瓶@2</x:v>
      </x:c>
      <x:c r="B29" s="9" t="n">
        <x:v>1911.503999883</x:v>
      </x:c>
      <x:c r="C29" s="4" t="str">
        <x:v>次/分钟</x:v>
      </x:c>
      <x:c r="F29" s="4" t="str">
        <x:v>齿轮@4</x:v>
      </x:c>
      <x:c r="G29" s="9" t="n">
        <x:v>0</x:v>
      </x:c>
      <x:c r="H29" s="9" t="n">
        <x:f>'完整矩阵_带回收'!AC28</x:f>
        <x:v>7.116108907615228</x:v>
      </x:c>
      <x:c r="I29" s="9" t="n">
        <x:f>'完整矩阵_带回收'!AD28</x:f>
        <x:v>7.116108907615228</x:v>
      </x:c>
      <x:c r="J29" s="4" t="str">
        <x:f>IF('完整矩阵_带回收'!AE28="否","通过","短缺")</x:f>
        <x:v>通过</x:v>
      </x:c>
    </x:row>
    <x:row r="30">
      <x:c r="A30" s="4" t="str">
        <x:v>回收红瓶@3</x:v>
      </x:c>
      <x:c r="B30" s="9" t="n">
        <x:v>921.657922112</x:v>
      </x:c>
      <x:c r="C30" s="4" t="str">
        <x:v>次/分钟</x:v>
      </x:c>
      <x:c r="F30" s="4" t="str">
        <x:v>齿轮@5</x:v>
      </x:c>
      <x:c r="G30" s="9" t="n">
        <x:v>0</x:v>
      </x:c>
      <x:c r="H30" s="9" t="n">
        <x:f>'完整矩阵_带回收'!AC29</x:f>
        <x:v>-1.538644767151709e-10</x:v>
      </x:c>
      <x:c r="I30" s="9" t="n">
        <x:f>'完整矩阵_带回收'!AD29</x:f>
        <x:v>-1.538644767151709e-10</x:v>
      </x:c>
      <x:c r="J30" s="4" t="str">
        <x:f>IF('完整矩阵_带回收'!AE29="否","通过","短缺")</x:f>
        <x:v>通过</x:v>
      </x:c>
    </x:row>
    <x:row r="31">
      <x:c r="A31" s="4" t="str">
        <x:v>回收红瓶@4</x:v>
      </x:c>
      <x:c r="B31" s="9" t="n">
        <x:v>278.577803037</x:v>
      </x:c>
      <x:c r="C31" s="4" t="str">
        <x:v>次/分钟</x:v>
      </x:c>
      <x:c r="F31" s="4" t="str">
        <x:v>红瓶@1</x:v>
      </x:c>
      <x:c r="G31" s="9" t="n">
        <x:v>0</x:v>
      </x:c>
      <x:c r="H31" s="9" t="n">
        <x:f>'完整矩阵_带回收'!AC30</x:f>
        <x:v>-5.479705578181893e-10</x:v>
      </x:c>
      <x:c r="I31" s="9" t="n">
        <x:f>'完整矩阵_带回收'!AD30</x:f>
        <x:v>-5.479705578181893e-10</x:v>
      </x:c>
      <x:c r="J31" s="4" t="str">
        <x:f>IF('完整矩阵_带回收'!AE30="否","通过","短缺")</x:f>
        <x:v>通过</x:v>
      </x:c>
    </x:row>
    <x:row r="32">
      <x:c r="F32" s="4" t="str">
        <x:v>红瓶@2</x:v>
      </x:c>
      <x:c r="G32" s="9" t="n">
        <x:v>0</x:v>
      </x:c>
      <x:c r="H32" s="9" t="n">
        <x:f>'完整矩阵_带回收'!AC31</x:f>
        <x:v>1.4415491023100913e-10</x:v>
      </x:c>
      <x:c r="I32" s="9" t="n">
        <x:f>'完整矩阵_带回收'!AD31</x:f>
        <x:v>1.4415491023100913e-10</x:v>
      </x:c>
      <x:c r="J32" s="4" t="str">
        <x:f>IF('完整矩阵_带回收'!AE31="否","通过","短缺")</x:f>
        <x:v>通过</x:v>
      </x:c>
    </x:row>
    <x:row r="33">
      <x:c r="F33" s="4" t="str">
        <x:v>红瓶@3</x:v>
      </x:c>
      <x:c r="G33" s="9" t="n">
        <x:v>0</x:v>
      </x:c>
      <x:c r="H33" s="9" t="n">
        <x:f>'完整矩阵_带回收'!AC32</x:f>
        <x:v>-4.665707820095122e-10</x:v>
      </x:c>
      <x:c r="I33" s="9" t="n">
        <x:f>'完整矩阵_带回收'!AD32</x:f>
        <x:v>-4.665707820095122e-10</x:v>
      </x:c>
      <x:c r="J33" s="4" t="str">
        <x:f>IF('完整矩阵_带回收'!AE32="否","通过","短缺")</x:f>
        <x:v>通过</x:v>
      </x:c>
    </x:row>
    <x:row r="34">
      <x:c r="F34" s="4" t="str">
        <x:v>红瓶@4</x:v>
      </x:c>
      <x:c r="G34" s="9" t="n">
        <x:v>0</x:v>
      </x:c>
      <x:c r="H34" s="9" t="n">
        <x:f>'完整矩阵_带回收'!AC33</x:f>
        <x:v>-6.02682348471717e-10</x:v>
      </x:c>
      <x:c r="I34" s="9" t="n">
        <x:f>'完整矩阵_带回收'!AD33</x:f>
        <x:v>-6.02682348471717e-10</x:v>
      </x:c>
      <x:c r="J34" s="4" t="str">
        <x:f>IF('完整矩阵_带回收'!AE33="否","通过","短缺")</x:f>
        <x:v>通过</x:v>
      </x:c>
    </x:row>
    <x:row r="35">
      <x:c r="F35" s="4" t="str">
        <x:v>红瓶@5</x:v>
      </x:c>
      <x:c r="G35" s="9" t="n">
        <x:v>60</x:v>
      </x:c>
      <x:c r="H35" s="9" t="n">
        <x:f>'完整矩阵_带回收'!AC34</x:f>
        <x:v>60.00000000022304</x:v>
      </x:c>
      <x:c r="I35" s="9" t="n">
        <x:f>'完整矩阵_带回收'!AD34</x:f>
        <x:v>2.2303936475509545e-10</x:v>
      </x:c>
      <x:c r="J35" s="4" t="str">
        <x:f>IF('完整矩阵_带回收'!AE34="否","通过","短缺")</x:f>
        <x:v>通过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7.78000020980835" hidden="0" customWidth="1"/>
    <x:col min="3" max="3" width="10.220000267028809" hidden="0" customWidth="1"/>
    <x:col min="4" max="4" width="12.220000267028809" hidden="0" customWidth="1"/>
    <x:col min="5" max="5" width="9.109999656677246" hidden="0" customWidth="1"/>
    <x:col min="6" max="6" width="7.78000020980835" hidden="0" customWidth="1"/>
    <x:col min="7" max="7" width="9.109999656677246" hidden="0" customWidth="1"/>
    <x:col min="8" max="8" width="13.109999656677246" hidden="0" customWidth="1"/>
    <x:col min="9" max="9" width="13.779999732971191" hidden="0" customWidth="1"/>
    <x:col min="10" max="10" width="12.220000267028809" hidden="0" customWidth="1"/>
    <x:col min="11" max="11" width="12.4399995803833" hidden="0" customWidth="1"/>
    <x:col min="12" max="12" width="12.890000343322754" hidden="0" customWidth="1"/>
    <x:col min="13" max="13" width="12.890000343322754" hidden="0" customWidth="1"/>
  </x:cols>
  <x:sheetData>
    <x:row r="1">
      <x:c r="A1" s="1" t="str">
        <x:v>机器换算_无回收</x:v>
      </x:c>
    </x:row>
    <x:row r="2">
      <x:c r="A2" s="2" t="str">
        <x:v>机器数是过程执行率的后处理：先解 LP，再除以单机执行率。</x:v>
      </x:c>
    </x:row>
    <x:row r="5">
      <x:c r="A5" s="8" t="str">
        <x:v>过程</x:v>
      </x:c>
      <x:c r="B5" s="8" t="str">
        <x:v>阶段</x:v>
      </x:c>
      <x:c r="C5" s="8" t="str">
        <x:v>基础耗时秒</x:v>
      </x:c>
      <x:c r="D5" s="8" t="str">
        <x:v>机器</x:v>
      </x:c>
      <x:c r="E5" s="8" t="str">
        <x:v>机器速度</x:v>
      </x:c>
      <x:c r="F5" s="8" t="str">
        <x:v>插件槽位</x:v>
      </x:c>
      <x:c r="G5" s="8" t="str">
        <x:v>速度系数</x:v>
      </x:c>
      <x:c r="H5" s="8" t="str">
        <x:v>单机执行率/分钟</x:v>
      </x:c>
      <x:c r="I5" s="8" t="str">
        <x:v>过程执行次数/分钟</x:v>
      </x:c>
      <x:c r="J5" s="8" t="str">
        <x:v>等效机器数</x:v>
      </x:c>
      <x:c r="K5" s="8" t="str">
        <x:v>向上取整机器数</x:v>
      </x:c>
      <x:c r="L5" s="8" t="str">
        <x:v>取整后容量/分钟</x:v>
      </x:c>
      <x:c r="M5" s="8" t="str">
        <x:v>容量余量/分钟</x:v>
      </x:c>
    </x:row>
    <x:row r="6">
      <x:c r="A6" s="4" t="str">
        <x:v>采铜矿</x:v>
      </x:c>
      <x:c r="B6" s="4" t="str">
        <x:v>采矿</x:v>
      </x:c>
      <x:c r="C6" s="9" t="n">
        <x:v>1</x:v>
      </x:c>
      <x:c r="D6" s="9" t="str">
        <x:v>电力采矿机</x:v>
      </x:c>
      <x:c r="E6" s="9" t="n">
        <x:v>0.5</x:v>
      </x:c>
      <x:c r="F6" s="9" t="n">
        <x:v>3</x:v>
      </x:c>
      <x:c r="G6" s="9" t="n">
        <x:f>1+F6*'参数'!$B$12</x:f>
        <x:v>0.85</x:v>
      </x:c>
      <x:c r="H6" s="9" t="n">
        <x:f>E6*G6*60/C6</x:f>
        <x:v>25.5</x:v>
      </x:c>
      <x:c r="I6" s="9" t="n">
        <x:f>'完整矩阵_无回收'!B$36</x:f>
        <x:v>17455.047297483</x:v>
      </x:c>
      <x:c r="J6" s="9" t="n">
        <x:f>IF(H6=0,0,I6/H6)</x:f>
        <x:v>684.5116587248235</x:v>
      </x:c>
      <x:c r="K6" s="9" t="n">
        <x:f>ROUNDUP(J6,0)</x:f>
        <x:v>685</x:v>
      </x:c>
      <x:c r="L6" s="9" t="n">
        <x:f>K6*H6</x:f>
        <x:v>17467.5</x:v>
      </x:c>
      <x:c r="M6" s="9" t="n">
        <x:f>L6-I6</x:f>
        <x:v>12.452702516999125</x:v>
      </x:c>
    </x:row>
    <x:row r="7">
      <x:c r="A7" s="4" t="str">
        <x:v>采铁矿</x:v>
      </x:c>
      <x:c r="B7" s="4" t="str">
        <x:v>采矿</x:v>
      </x:c>
      <x:c r="C7" s="9" t="n">
        <x:v>1</x:v>
      </x:c>
      <x:c r="D7" s="9" t="str">
        <x:v>电力采矿机</x:v>
      </x:c>
      <x:c r="E7" s="9" t="n">
        <x:v>0.5</x:v>
      </x:c>
      <x:c r="F7" s="9" t="n">
        <x:v>3</x:v>
      </x:c>
      <x:c r="G7" s="9" t="n">
        <x:f>1+F7*'参数'!$B$12</x:f>
        <x:v>0.85</x:v>
      </x:c>
      <x:c r="H7" s="9" t="n">
        <x:f>E7*G7*60/C7</x:f>
        <x:v>25.5</x:v>
      </x:c>
      <x:c r="I7" s="9" t="n">
        <x:f>'完整矩阵_无回收'!C$36</x:f>
        <x:v>10179.40930285</x:v>
      </x:c>
      <x:c r="J7" s="9" t="n">
        <x:f>IF(H7=0,0,I7/H7)</x:f>
        <x:v>399.19252168039213</x:v>
      </x:c>
      <x:c r="K7" s="9" t="n">
        <x:f>ROUNDUP(J7,0)</x:f>
        <x:v>400</x:v>
      </x:c>
      <x:c r="L7" s="9" t="n">
        <x:f>K7*H7</x:f>
        <x:v>10200</x:v>
      </x:c>
      <x:c r="M7" s="9" t="n">
        <x:f>L7-I7</x:f>
        <x:v>20.59069715000078</x:v>
      </x:c>
    </x:row>
    <x:row r="8">
      <x:c r="A8" s="4" t="str">
        <x:v>冶铜板@1</x:v>
      </x:c>
      <x:c r="B8" s="4" t="str">
        <x:v>冶炼</x:v>
      </x:c>
      <x:c r="C8" s="9" t="n">
        <x:v>3.2</x:v>
      </x:c>
      <x:c r="D8" s="9" t="str">
        <x:v>电炉</x:v>
      </x:c>
      <x:c r="E8" s="9" t="n">
        <x:v>2</x:v>
      </x:c>
      <x:c r="F8" s="9" t="n">
        <x:v>2</x:v>
      </x:c>
      <x:c r="G8" s="9" t="n">
        <x:f>1+F8*'参数'!$B$12</x:f>
        <x:v>0.9</x:v>
      </x:c>
      <x:c r="H8" s="9" t="n">
        <x:f>E8*G8*60/C8</x:f>
        <x:v>33.75</x:v>
      </x:c>
      <x:c r="I8" s="9" t="n">
        <x:f>'完整矩阵_无回收'!D$36</x:f>
        <x:v>14208.408500151</x:v>
      </x:c>
      <x:c r="J8" s="9" t="n">
        <x:f>IF(H8=0,0,I8/H8)</x:f>
        <x:v>420.98988148595555</x:v>
      </x:c>
      <x:c r="K8" s="9" t="n">
        <x:f>ROUNDUP(J8,0)</x:f>
        <x:v>421</x:v>
      </x:c>
      <x:c r="L8" s="9" t="n">
        <x:f>K8*H8</x:f>
        <x:v>14208.75</x:v>
      </x:c>
      <x:c r="M8" s="9" t="n">
        <x:f>L8-I8</x:f>
        <x:v>0.34149984900068375</x:v>
      </x:c>
    </x:row>
    <x:row r="9">
      <x:c r="A9" s="4" t="str">
        <x:v>冶铜板@2</x:v>
      </x:c>
      <x:c r="B9" s="4" t="str">
        <x:v>冶炼</x:v>
      </x:c>
      <x:c r="C9" s="9" t="n">
        <x:v>3.2</x:v>
      </x:c>
      <x:c r="D9" s="9" t="str">
        <x:v>电炉</x:v>
      </x:c>
      <x:c r="E9" s="9" t="n">
        <x:v>2</x:v>
      </x:c>
      <x:c r="F9" s="9" t="n">
        <x:v>2</x:v>
      </x:c>
      <x:c r="G9" s="9" t="n">
        <x:f>1+F9*'参数'!$B$12</x:f>
        <x:v>0.9</x:v>
      </x:c>
      <x:c r="H9" s="9" t="n">
        <x:f>E9*G9*60/C9</x:f>
        <x:v>33.75</x:v>
      </x:c>
      <x:c r="I9" s="9" t="n">
        <x:f>'完整矩阵_无回收'!E$36</x:f>
        <x:v>2921.974917599</x:v>
      </x:c>
      <x:c r="J9" s="9" t="n">
        <x:f>IF(H9=0,0,I9/H9)</x:f>
        <x:v>86.57703459552593</x:v>
      </x:c>
      <x:c r="K9" s="9" t="n">
        <x:f>ROUNDUP(J9,0)</x:f>
        <x:v>87</x:v>
      </x:c>
      <x:c r="L9" s="9" t="n">
        <x:f>K9*H9</x:f>
        <x:v>2936.25</x:v>
      </x:c>
      <x:c r="M9" s="9" t="n">
        <x:f>L9-I9</x:f>
        <x:v>14.275082400999963</x:v>
      </x:c>
    </x:row>
    <x:row r="10">
      <x:c r="A10" s="4" t="str">
        <x:v>冶铜板@3</x:v>
      </x:c>
      <x:c r="B10" s="4" t="str">
        <x:v>冶炼</x:v>
      </x:c>
      <x:c r="C10" s="9" t="n">
        <x:v>3.2</x:v>
      </x:c>
      <x:c r="D10" s="9" t="str">
        <x:v>电炉</x:v>
      </x:c>
      <x:c r="E10" s="9" t="n">
        <x:v>2</x:v>
      </x:c>
      <x:c r="F10" s="9" t="n">
        <x:v>2</x:v>
      </x:c>
      <x:c r="G10" s="9" t="n">
        <x:f>1+F10*'参数'!$B$12</x:f>
        <x:v>0.9</x:v>
      </x:c>
      <x:c r="H10" s="9" t="n">
        <x:f>E10*G10*60/C10</x:f>
        <x:v>33.75</x:v>
      </x:c>
      <x:c r="I10" s="9" t="n">
        <x:f>'完整矩阵_无回收'!F$36</x:f>
        <x:v>292.19749176</x:v>
      </x:c>
      <x:c r="J10" s="9" t="n">
        <x:f>IF(H10=0,0,I10/H10)</x:f>
        <x:v>8.657703459555556</x:v>
      </x:c>
      <x:c r="K10" s="9" t="n">
        <x:f>ROUNDUP(J10,0)</x:f>
        <x:v>9</x:v>
      </x:c>
      <x:c r="L10" s="9" t="n">
        <x:f>K10*H10</x:f>
        <x:v>303.75</x:v>
      </x:c>
      <x:c r="M10" s="9" t="n">
        <x:f>L10-I10</x:f>
        <x:v>11.552508240000009</x:v>
      </x:c>
    </x:row>
    <x:row r="11">
      <x:c r="A11" s="4" t="str">
        <x:v>冶铜板@4</x:v>
      </x:c>
      <x:c r="B11" s="4" t="str">
        <x:v>冶炼</x:v>
      </x:c>
      <x:c r="C11" s="9" t="n">
        <x:v>3.2</x:v>
      </x:c>
      <x:c r="D11" s="9" t="str">
        <x:v>电炉</x:v>
      </x:c>
      <x:c r="E11" s="9" t="n">
        <x:v>2</x:v>
      </x:c>
      <x:c r="F11" s="9" t="n">
        <x:v>2</x:v>
      </x:c>
      <x:c r="G11" s="9" t="n">
        <x:f>1+F11*'参数'!$B$12</x:f>
        <x:v>0.9</x:v>
      </x:c>
      <x:c r="H11" s="9" t="n">
        <x:f>E11*G11*60/C11</x:f>
        <x:v>33.75</x:v>
      </x:c>
      <x:c r="I11" s="9" t="n">
        <x:f>'完整矩阵_无回收'!G$36</x:f>
        <x:v>29.219749176</x:v>
      </x:c>
      <x:c r="J11" s="9" t="n">
        <x:f>IF(H11=0,0,I11/H11)</x:f>
        <x:v>0.8657703459555556</x:v>
      </x:c>
      <x:c r="K11" s="9" t="n">
        <x:f>ROUNDUP(J11,0)</x:f>
        <x:v>1</x:v>
      </x:c>
      <x:c r="L11" s="9" t="n">
        <x:f>K11*H11</x:f>
        <x:v>33.75</x:v>
      </x:c>
      <x:c r="M11" s="9" t="n">
        <x:f>L11-I11</x:f>
        <x:v>4.5302508239999995</x:v>
      </x:c>
    </x:row>
    <x:row r="12">
      <x:c r="A12" s="4" t="str">
        <x:v>冶铜板@5</x:v>
      </x:c>
      <x:c r="B12" s="4" t="str">
        <x:v>冶炼</x:v>
      </x:c>
      <x:c r="C12" s="9" t="n">
        <x:v>3.2</x:v>
      </x:c>
      <x:c r="D12" s="9" t="str">
        <x:v>电炉</x:v>
      </x:c>
      <x:c r="E12" s="9" t="n">
        <x:v>2</x:v>
      </x:c>
      <x:c r="F12" s="9" t="n">
        <x:v>2</x:v>
      </x:c>
      <x:c r="G12" s="9" t="n">
        <x:f>1+F12*'参数'!$B$12</x:f>
        <x:v>0.9</x:v>
      </x:c>
      <x:c r="H12" s="9" t="n">
        <x:f>E12*G12*60/C12</x:f>
        <x:v>33.75</x:v>
      </x:c>
      <x:c r="I12" s="9" t="n">
        <x:f>'完整矩阵_无回收'!H$36</x:f>
        <x:v>3.246638797</x:v>
      </x:c>
      <x:c r="J12" s="9" t="n">
        <x:f>IF(H12=0,0,I12/H12)</x:f>
        <x:v>0.0961967050962963</x:v>
      </x:c>
      <x:c r="K12" s="9" t="n">
        <x:f>ROUNDUP(J12,0)</x:f>
        <x:v>1</x:v>
      </x:c>
      <x:c r="L12" s="9" t="n">
        <x:f>K12*H12</x:f>
        <x:v>33.75</x:v>
      </x:c>
      <x:c r="M12" s="9" t="n">
        <x:f>L12-I12</x:f>
        <x:v>30.503361203</x:v>
      </x:c>
    </x:row>
    <x:row r="13">
      <x:c r="A13" s="4" t="str">
        <x:v>冶铁板@1</x:v>
      </x:c>
      <x:c r="B13" s="4" t="str">
        <x:v>冶炼</x:v>
      </x:c>
      <x:c r="C13" s="9" t="n">
        <x:v>3.2</x:v>
      </x:c>
      <x:c r="D13" s="9" t="str">
        <x:v>电炉</x:v>
      </x:c>
      <x:c r="E13" s="9" t="n">
        <x:v>2</x:v>
      </x:c>
      <x:c r="F13" s="9" t="n">
        <x:v>2</x:v>
      </x:c>
      <x:c r="G13" s="9" t="n">
        <x:f>1+F13*'参数'!$B$12</x:f>
        <x:v>0.9</x:v>
      </x:c>
      <x:c r="H13" s="9" t="n">
        <x:f>E13*G13*60/C13</x:f>
        <x:v>33.75</x:v>
      </x:c>
      <x:c r="I13" s="9" t="n">
        <x:f>'完整矩阵_无回收'!I$36</x:f>
        <x:v>8286.03917252</x:v>
      </x:c>
      <x:c r="J13" s="9" t="n">
        <x:f>IF(H13=0,0,I13/H13)</x:f>
        <x:v>245.51227177837038</x:v>
      </x:c>
      <x:c r="K13" s="9" t="n">
        <x:f>ROUNDUP(J13,0)</x:f>
        <x:v>246</x:v>
      </x:c>
      <x:c r="L13" s="9" t="n">
        <x:f>K13*H13</x:f>
        <x:v>8302.5</x:v>
      </x:c>
      <x:c r="M13" s="9" t="n">
        <x:f>L13-I13</x:f>
        <x:v>16.460827479999352</x:v>
      </x:c>
    </x:row>
    <x:row r="14">
      <x:c r="A14" s="4" t="str">
        <x:v>冶铁板@2</x:v>
      </x:c>
      <x:c r="B14" s="4" t="str">
        <x:v>冶炼</x:v>
      </x:c>
      <x:c r="C14" s="9" t="n">
        <x:v>3.2</x:v>
      </x:c>
      <x:c r="D14" s="9" t="str">
        <x:v>电炉</x:v>
      </x:c>
      <x:c r="E14" s="9" t="n">
        <x:v>2</x:v>
      </x:c>
      <x:c r="F14" s="9" t="n">
        <x:v>2</x:v>
      </x:c>
      <x:c r="G14" s="9" t="n">
        <x:f>1+F14*'参数'!$B$12</x:f>
        <x:v>0.9</x:v>
      </x:c>
      <x:c r="H14" s="9" t="n">
        <x:f>E14*G14*60/C14</x:f>
        <x:v>33.75</x:v>
      </x:c>
      <x:c r="I14" s="9" t="n">
        <x:f>'完整矩阵_无回收'!J$36</x:f>
        <x:v>1704.033117297</x:v>
      </x:c>
      <x:c r="J14" s="9" t="n">
        <x:f>IF(H14=0,0,I14/H14)</x:f>
        <x:v>50.489870142133334</x:v>
      </x:c>
      <x:c r="K14" s="9" t="n">
        <x:f>ROUNDUP(J14,0)</x:f>
        <x:v>51</x:v>
      </x:c>
      <x:c r="L14" s="9" t="n">
        <x:f>K14*H14</x:f>
        <x:v>1721.25</x:v>
      </x:c>
      <x:c r="M14" s="9" t="n">
        <x:f>L14-I14</x:f>
        <x:v>17.21688270300001</x:v>
      </x:c>
    </x:row>
    <x:row r="15">
      <x:c r="A15" s="4" t="str">
        <x:v>冶铁板@3</x:v>
      </x:c>
      <x:c r="B15" s="4" t="str">
        <x:v>冶炼</x:v>
      </x:c>
      <x:c r="C15" s="9" t="n">
        <x:v>3.2</x:v>
      </x:c>
      <x:c r="D15" s="9" t="str">
        <x:v>电炉</x:v>
      </x:c>
      <x:c r="E15" s="9" t="n">
        <x:v>2</x:v>
      </x:c>
      <x:c r="F15" s="9" t="n">
        <x:v>2</x:v>
      </x:c>
      <x:c r="G15" s="9" t="n">
        <x:f>1+F15*'参数'!$B$12</x:f>
        <x:v>0.9</x:v>
      </x:c>
      <x:c r="H15" s="9" t="n">
        <x:f>E15*G15*60/C15</x:f>
        <x:v>33.75</x:v>
      </x:c>
      <x:c r="I15" s="9" t="n">
        <x:f>'完整矩阵_无回收'!K$36</x:f>
        <x:v>170.40331173</x:v>
      </x:c>
      <x:c r="J15" s="9" t="n">
        <x:f>IF(H15=0,0,I15/H15)</x:f>
        <x:v>5.048987014222223</x:v>
      </x:c>
      <x:c r="K15" s="9" t="n">
        <x:f>ROUNDUP(J15,0)</x:f>
        <x:v>6</x:v>
      </x:c>
      <x:c r="L15" s="9" t="n">
        <x:f>K15*H15</x:f>
        <x:v>202.5</x:v>
      </x:c>
      <x:c r="M15" s="9" t="n">
        <x:f>L15-I15</x:f>
        <x:v>32.09668826999999</x:v>
      </x:c>
    </x:row>
    <x:row r="16">
      <x:c r="A16" s="4" t="str">
        <x:v>冶铁板@4</x:v>
      </x:c>
      <x:c r="B16" s="4" t="str">
        <x:v>冶炼</x:v>
      </x:c>
      <x:c r="C16" s="9" t="n">
        <x:v>3.2</x:v>
      </x:c>
      <x:c r="D16" s="9" t="str">
        <x:v>电炉</x:v>
      </x:c>
      <x:c r="E16" s="9" t="n">
        <x:v>2</x:v>
      </x:c>
      <x:c r="F16" s="9" t="n">
        <x:v>2</x:v>
      </x:c>
      <x:c r="G16" s="9" t="n">
        <x:f>1+F16*'参数'!$B$12</x:f>
        <x:v>0.9</x:v>
      </x:c>
      <x:c r="H16" s="9" t="n">
        <x:f>E16*G16*60/C16</x:f>
        <x:v>33.75</x:v>
      </x:c>
      <x:c r="I16" s="9" t="n">
        <x:f>'完整矩阵_无回收'!L$36</x:f>
        <x:v>17.040331173</x:v>
      </x:c>
      <x:c r="J16" s="9" t="n">
        <x:f>IF(H16=0,0,I16/H16)</x:f>
        <x:v>0.5048987014222222</x:v>
      </x:c>
      <x:c r="K16" s="9" t="n">
        <x:f>ROUNDUP(J16,0)</x:f>
        <x:v>1</x:v>
      </x:c>
      <x:c r="L16" s="9" t="n">
        <x:f>K16*H16</x:f>
        <x:v>33.75</x:v>
      </x:c>
      <x:c r="M16" s="9" t="n">
        <x:f>L16-I16</x:f>
        <x:v>16.709668827</x:v>
      </x:c>
    </x:row>
    <x:row r="17">
      <x:c r="A17" s="4" t="str">
        <x:v>冶铁板@5</x:v>
      </x:c>
      <x:c r="B17" s="4" t="str">
        <x:v>冶炼</x:v>
      </x:c>
      <x:c r="C17" s="9" t="n">
        <x:v>3.2</x:v>
      </x:c>
      <x:c r="D17" s="9" t="str">
        <x:v>电炉</x:v>
      </x:c>
      <x:c r="E17" s="9" t="n">
        <x:v>2</x:v>
      </x:c>
      <x:c r="F17" s="9" t="n">
        <x:v>2</x:v>
      </x:c>
      <x:c r="G17" s="9" t="n">
        <x:f>1+F17*'参数'!$B$12</x:f>
        <x:v>0.9</x:v>
      </x:c>
      <x:c r="H17" s="9" t="n">
        <x:f>E17*G17*60/C17</x:f>
        <x:v>33.75</x:v>
      </x:c>
      <x:c r="I17" s="9" t="n">
        <x:f>'完整矩阵_无回收'!M$36</x:f>
        <x:v>0</x:v>
      </x:c>
      <x:c r="J17" s="9" t="n">
        <x:f>IF(H17=0,0,I17/H17)</x:f>
        <x:v>0</x:v>
      </x:c>
      <x:c r="K17" s="9" t="n">
        <x:f>ROUNDUP(J17,0)</x:f>
        <x:v>0</x:v>
      </x:c>
      <x:c r="L17" s="9" t="n">
        <x:f>K17*H17</x:f>
        <x:v>0</x:v>
      </x:c>
      <x:c r="M17" s="9" t="n">
        <x:f>L17-I17</x:f>
        <x:v>0</x:v>
      </x:c>
    </x:row>
    <x:row r="18">
      <x:c r="A18" s="4" t="str">
        <x:v>造齿轮@1</x:v>
      </x:c>
      <x:c r="B18" s="4" t="str">
        <x:v>组装</x:v>
      </x:c>
      <x:c r="C18" s="9" t="n">
        <x:v>0.5</x:v>
      </x:c>
      <x:c r="D18" s="9" t="str">
        <x:v>组装机 3 型</x:v>
      </x:c>
      <x:c r="E18" s="9" t="n">
        <x:v>1.25</x:v>
      </x:c>
      <x:c r="F18" s="9" t="n">
        <x:v>4</x:v>
      </x:c>
      <x:c r="G18" s="9" t="n">
        <x:f>1+F18*'参数'!$B$12</x:f>
        <x:v>0.8</x:v>
      </x:c>
      <x:c r="H18" s="9" t="n">
        <x:f>E18*G18*60/C18</x:f>
        <x:v>120</x:v>
      </x:c>
      <x:c r="I18" s="9" t="n">
        <x:f>'完整矩阵_无回收'!N$36</x:f>
        <x:v>3629.285157564</x:v>
      </x:c>
      <x:c r="J18" s="9" t="n">
        <x:f>IF(H18=0,0,I18/H18)</x:f>
        <x:v>30.2440429797</x:v>
      </x:c>
      <x:c r="K18" s="9" t="n">
        <x:f>ROUNDUP(J18,0)</x:f>
        <x:v>31</x:v>
      </x:c>
      <x:c r="L18" s="9" t="n">
        <x:f>K18*H18</x:f>
        <x:v>3720</x:v>
      </x:c>
      <x:c r="M18" s="9" t="n">
        <x:f>L18-I18</x:f>
        <x:v>90.7148424359998</x:v>
      </x:c>
    </x:row>
    <x:row r="19">
      <x:c r="A19" s="4" t="str">
        <x:v>造齿轮@2</x:v>
      </x:c>
      <x:c r="B19" s="4" t="str">
        <x:v>组装</x:v>
      </x:c>
      <x:c r="C19" s="9" t="n">
        <x:v>0.5</x:v>
      </x:c>
      <x:c r="D19" s="9" t="str">
        <x:v>组装机 3 型</x:v>
      </x:c>
      <x:c r="E19" s="9" t="n">
        <x:v>1.25</x:v>
      </x:c>
      <x:c r="F19" s="9" t="n">
        <x:v>4</x:v>
      </x:c>
      <x:c r="G19" s="9" t="n">
        <x:f>1+F19*'参数'!$B$12</x:f>
        <x:v>0.8</x:v>
      </x:c>
      <x:c r="H19" s="9" t="n">
        <x:f>E19*G19*60/C19</x:f>
        <x:v>120</x:v>
      </x:c>
      <x:c r="I19" s="9" t="n">
        <x:f>'完整矩阵_无回收'!O$36</x:f>
        <x:v>1208.727491203</x:v>
      </x:c>
      <x:c r="J19" s="9" t="n">
        <x:f>IF(H19=0,0,I19/H19)</x:f>
        <x:v>10.072729093358333</x:v>
      </x:c>
      <x:c r="K19" s="9" t="n">
        <x:f>ROUNDUP(J19,0)</x:f>
        <x:v>11</x:v>
      </x:c>
      <x:c r="L19" s="9" t="n">
        <x:f>K19*H19</x:f>
        <x:v>1320</x:v>
      </x:c>
      <x:c r="M19" s="9" t="n">
        <x:f>L19-I19</x:f>
        <x:v>111.272508797</x:v>
      </x:c>
    </x:row>
    <x:row r="20">
      <x:c r="A20" s="4" t="str">
        <x:v>造齿轮@3</x:v>
      </x:c>
      <x:c r="B20" s="4" t="str">
        <x:v>组装</x:v>
      </x:c>
      <x:c r="C20" s="9" t="n">
        <x:v>0.5</x:v>
      </x:c>
      <x:c r="D20" s="9" t="str">
        <x:v>组装机 3 型</x:v>
      </x:c>
      <x:c r="E20" s="9" t="n">
        <x:v>1.25</x:v>
      </x:c>
      <x:c r="F20" s="9" t="n">
        <x:v>4</x:v>
      </x:c>
      <x:c r="G20" s="9" t="n">
        <x:f>1+F20*'参数'!$B$12</x:f>
        <x:v>0.8</x:v>
      </x:c>
      <x:c r="H20" s="9" t="n">
        <x:f>E20*G20*60/C20</x:f>
        <x:v>120</x:v>
      </x:c>
      <x:c r="I20" s="9" t="n">
        <x:f>'完整矩阵_无回收'!P$36</x:f>
        <x:v>215.957797065</x:v>
      </x:c>
      <x:c r="J20" s="9" t="n">
        <x:f>IF(H20=0,0,I20/H20)</x:f>
        <x:v>1.799648308875</x:v>
      </x:c>
      <x:c r="K20" s="9" t="n">
        <x:f>ROUNDUP(J20,0)</x:f>
        <x:v>2</x:v>
      </x:c>
      <x:c r="L20" s="9" t="n">
        <x:f>K20*H20</x:f>
        <x:v>240</x:v>
      </x:c>
      <x:c r="M20" s="9" t="n">
        <x:f>L20-I20</x:f>
        <x:v>24.042202935000006</x:v>
      </x:c>
    </x:row>
    <x:row r="21">
      <x:c r="A21" s="4" t="str">
        <x:v>造齿轮@4</x:v>
      </x:c>
      <x:c r="B21" s="4" t="str">
        <x:v>组装</x:v>
      </x:c>
      <x:c r="C21" s="9" t="n">
        <x:v>0.5</x:v>
      </x:c>
      <x:c r="D21" s="9" t="str">
        <x:v>组装机 3 型</x:v>
      </x:c>
      <x:c r="E21" s="9" t="n">
        <x:v>1.25</x:v>
      </x:c>
      <x:c r="F21" s="9" t="n">
        <x:v>4</x:v>
      </x:c>
      <x:c r="G21" s="9" t="n">
        <x:f>1+F21*'参数'!$B$12</x:f>
        <x:v>0.8</x:v>
      </x:c>
      <x:c r="H21" s="9" t="n">
        <x:f>E21*G21*60/C21</x:f>
        <x:v>120</x:v>
      </x:c>
      <x:c r="I21" s="9" t="n">
        <x:f>'完整矩阵_无回收'!Q$36</x:f>
        <x:v>31.104284501</x:v>
      </x:c>
      <x:c r="J21" s="9" t="n">
        <x:f>IF(H21=0,0,I21/H21)</x:f>
        <x:v>0.25920237084166664</x:v>
      </x:c>
      <x:c r="K21" s="9" t="n">
        <x:f>ROUNDUP(J21,0)</x:f>
        <x:v>1</x:v>
      </x:c>
      <x:c r="L21" s="9" t="n">
        <x:f>K21*H21</x:f>
        <x:v>120</x:v>
      </x:c>
      <x:c r="M21" s="9" t="n">
        <x:f>L21-I21</x:f>
        <x:v>88.895715499</x:v>
      </x:c>
    </x:row>
    <x:row r="22">
      <x:c r="A22" s="4" t="str">
        <x:v>造齿轮@5</x:v>
      </x:c>
      <x:c r="B22" s="4" t="str">
        <x:v>组装</x:v>
      </x:c>
      <x:c r="C22" s="9" t="n">
        <x:v>0.5</x:v>
      </x:c>
      <x:c r="D22" s="9" t="str">
        <x:v>组装机 3 型</x:v>
      </x:c>
      <x:c r="E22" s="9" t="n">
        <x:v>1.25</x:v>
      </x:c>
      <x:c r="F22" s="9" t="n">
        <x:v>4</x:v>
      </x:c>
      <x:c r="G22" s="9" t="n">
        <x:f>1+F22*'参数'!$B$12</x:f>
        <x:v>0.8</x:v>
      </x:c>
      <x:c r="H22" s="9" t="n">
        <x:f>E22*G22*60/C22</x:f>
        <x:v>120</x:v>
      </x:c>
      <x:c r="I22" s="9" t="n">
        <x:f>'完整矩阵_无回收'!R$36</x:f>
        <x:v>0</x:v>
      </x:c>
      <x:c r="J22" s="9" t="n">
        <x:f>IF(H22=0,0,I22/H22)</x:f>
        <x:v>0</x:v>
      </x:c>
      <x:c r="K22" s="9" t="n">
        <x:f>ROUNDUP(J22,0)</x:f>
        <x:v>0</x:v>
      </x:c>
      <x:c r="L22" s="9" t="n">
        <x:f>K22*H22</x:f>
        <x:v>0</x:v>
      </x:c>
      <x:c r="M22" s="9" t="n">
        <x:f>L22-I22</x:f>
        <x:v>0</x:v>
      </x:c>
    </x:row>
    <x:row r="23">
      <x:c r="A23" s="4" t="str">
        <x:v>造红瓶@1</x:v>
      </x:c>
      <x:c r="B23" s="4" t="str">
        <x:v>组装</x:v>
      </x:c>
      <x:c r="C23" s="9" t="n">
        <x:v>5</x:v>
      </x:c>
      <x:c r="D23" s="9" t="str">
        <x:v>组装机 3 型</x:v>
      </x:c>
      <x:c r="E23" s="9" t="n">
        <x:v>1.25</x:v>
      </x:c>
      <x:c r="F23" s="9" t="n">
        <x:v>4</x:v>
      </x:c>
      <x:c r="G23" s="9" t="n">
        <x:f>1+F23*'参数'!$B$12</x:f>
        <x:v>0.8</x:v>
      </x:c>
      <x:c r="H23" s="9" t="n">
        <x:f>E23*G23*60/C23</x:f>
        <x:v>12</x:v>
      </x:c>
      <x:c r="I23" s="9" t="n">
        <x:f>'完整矩阵_无回收'!S$36</x:f>
        <x:v>2729.222438488</x:v>
      </x:c>
      <x:c r="J23" s="9" t="n">
        <x:f>IF(H23=0,0,I23/H23)</x:f>
        <x:v>227.43520320733333</x:v>
      </x:c>
      <x:c r="K23" s="9" t="n">
        <x:f>ROUNDUP(J23,0)</x:f>
        <x:v>228</x:v>
      </x:c>
      <x:c r="L23" s="9" t="n">
        <x:f>K23*H23</x:f>
        <x:v>2736</x:v>
      </x:c>
      <x:c r="M23" s="9" t="n">
        <x:f>L23-I23</x:f>
        <x:v>6.77756151199992</x:v>
      </x:c>
    </x:row>
    <x:row r="24">
      <x:c r="A24" s="4" t="str">
        <x:v>造红瓶@2</x:v>
      </x:c>
      <x:c r="B24" s="4" t="str">
        <x:v>组装</x:v>
      </x:c>
      <x:c r="C24" s="9" t="n">
        <x:v>5</x:v>
      </x:c>
      <x:c r="D24" s="9" t="str">
        <x:v>组装机 3 型</x:v>
      </x:c>
      <x:c r="E24" s="9" t="n">
        <x:v>1.25</x:v>
      </x:c>
      <x:c r="F24" s="9" t="n">
        <x:v>4</x:v>
      </x:c>
      <x:c r="G24" s="9" t="n">
        <x:f>1+F24*'参数'!$B$12</x:f>
        <x:v>0.8</x:v>
      </x:c>
      <x:c r="H24" s="9" t="n">
        <x:f>E24*G24*60/C24</x:f>
        <x:v>12</x:v>
      </x:c>
      <x:c r="I24" s="9" t="n">
        <x:f>'完整矩阵_无回收'!T$36</x:f>
        <x:v>1719.019520553</x:v>
      </x:c>
      <x:c r="J24" s="9" t="n">
        <x:f>IF(H24=0,0,I24/H24)</x:f>
        <x:v>143.25162671274998</x:v>
      </x:c>
      <x:c r="K24" s="9" t="n">
        <x:f>ROUNDUP(J24,0)</x:f>
        <x:v>144</x:v>
      </x:c>
      <x:c r="L24" s="9" t="n">
        <x:f>K24*H24</x:f>
        <x:v>1728</x:v>
      </x:c>
      <x:c r="M24" s="9" t="n">
        <x:f>L24-I24</x:f>
        <x:v>8.980479447000107</x:v>
      </x:c>
    </x:row>
    <x:row r="25">
      <x:c r="A25" s="4" t="str">
        <x:v>造红瓶@3</x:v>
      </x:c>
      <x:c r="B25" s="4" t="str">
        <x:v>组装</x:v>
      </x:c>
      <x:c r="C25" s="9" t="n">
        <x:v>5</x:v>
      </x:c>
      <x:c r="D25" s="9" t="str">
        <x:v>组装机 3 型</x:v>
      </x:c>
      <x:c r="E25" s="9" t="n">
        <x:v>1.25</x:v>
      </x:c>
      <x:c r="F25" s="9" t="n">
        <x:v>4</x:v>
      </x:c>
      <x:c r="G25" s="9" t="n">
        <x:f>1+F25*'参数'!$B$12</x:f>
        <x:v>0.8</x:v>
      </x:c>
      <x:c r="H25" s="9" t="n">
        <x:f>E25*G25*60/C25</x:f>
        <x:v>12</x:v>
      </x:c>
      <x:c r="I25" s="9" t="n">
        <x:f>'完整矩阵_无回收'!U$36</x:f>
        <x:v>513.193884146</x:v>
      </x:c>
      <x:c r="J25" s="9" t="n">
        <x:f>IF(H25=0,0,I25/H25)</x:f>
        <x:v>42.766157012166666</x:v>
      </x:c>
      <x:c r="K25" s="9" t="n">
        <x:f>ROUNDUP(J25,0)</x:f>
        <x:v>43</x:v>
      </x:c>
      <x:c r="L25" s="9" t="n">
        <x:f>K25*H25</x:f>
        <x:v>516</x:v>
      </x:c>
      <x:c r="M25" s="9" t="n">
        <x:f>L25-I25</x:f>
        <x:v>2.8061158540000406</x:v>
      </x:c>
    </x:row>
    <x:row r="26">
      <x:c r="A26" s="4" t="str">
        <x:v>造红瓶@4</x:v>
      </x:c>
      <x:c r="B26" s="4" t="str">
        <x:v>组装</x:v>
      </x:c>
      <x:c r="C26" s="9" t="n">
        <x:v>5</x:v>
      </x:c>
      <x:c r="D26" s="9" t="str">
        <x:v>组装机 3 型</x:v>
      </x:c>
      <x:c r="E26" s="9" t="n">
        <x:v>1.25</x:v>
      </x:c>
      <x:c r="F26" s="9" t="n">
        <x:v>4</x:v>
      </x:c>
      <x:c r="G26" s="9" t="n">
        <x:f>1+F26*'参数'!$B$12</x:f>
        <x:v>0.8</x:v>
      </x:c>
      <x:c r="H26" s="9" t="n">
        <x:f>E26*G26*60/C26</x:f>
        <x:v>12</x:v>
      </x:c>
      <x:c r="I26" s="9" t="n">
        <x:f>'完整矩阵_无回收'!V$36</x:f>
        <x:v>106.671564325</x:v>
      </x:c>
      <x:c r="J26" s="9" t="n">
        <x:f>IF(H26=0,0,I26/H26)</x:f>
        <x:v>8.889297027083334</x:v>
      </x:c>
      <x:c r="K26" s="9" t="n">
        <x:f>ROUNDUP(J26,0)</x:f>
        <x:v>9</x:v>
      </x:c>
      <x:c r="L26" s="9" t="n">
        <x:f>K26*H26</x:f>
        <x:v>108</x:v>
      </x:c>
      <x:c r="M26" s="9" t="n">
        <x:f>L26-I26</x:f>
        <x:v>1.3284356749999944</x:v>
      </x:c>
    </x:row>
    <x:row r="27">
      <x:c r="A27" s="4" t="str">
        <x:v>造红瓶@5</x:v>
      </x:c>
      <x:c r="B27" s="4" t="str">
        <x:v>组装</x:v>
      </x:c>
      <x:c r="C27" s="9" t="n">
        <x:v>5</x:v>
      </x:c>
      <x:c r="D27" s="9" t="str">
        <x:v>组装机 3 型</x:v>
      </x:c>
      <x:c r="E27" s="9" t="n">
        <x:v>1.25</x:v>
      </x:c>
      <x:c r="F27" s="9" t="n">
        <x:v>4</x:v>
      </x:c>
      <x:c r="G27" s="9" t="n">
        <x:f>1+F27*'参数'!$B$12</x:f>
        <x:v>0.8</x:v>
      </x:c>
      <x:c r="H27" s="9" t="n">
        <x:f>E27*G27*60/C27</x:f>
        <x:v>12</x:v>
      </x:c>
      <x:c r="I27" s="9" t="n">
        <x:f>'完整矩阵_无回收'!W$36</x:f>
        <x:v>15.878228145</x:v>
      </x:c>
      <x:c r="J27" s="9" t="n">
        <x:f>IF(H27=0,0,I27/H27)</x:f>
        <x:v>1.32318567875</x:v>
      </x:c>
      <x:c r="K27" s="9" t="n">
        <x:f>ROUNDUP(J27,0)</x:f>
        <x:v>2</x:v>
      </x:c>
      <x:c r="L27" s="9" t="n">
        <x:f>K27*H27</x:f>
        <x:v>24</x:v>
      </x:c>
      <x:c r="M27" s="9" t="n">
        <x:f>L27-I27</x:f>
        <x:v>8.121771855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7.78000020980835" hidden="0" customWidth="1"/>
    <x:col min="3" max="3" width="10.220000267028809" hidden="0" customWidth="1"/>
    <x:col min="4" max="4" width="12.220000267028809" hidden="0" customWidth="1"/>
    <x:col min="5" max="5" width="9.109999656677246" hidden="0" customWidth="1"/>
    <x:col min="6" max="6" width="7.78000020980835" hidden="0" customWidth="1"/>
    <x:col min="7" max="7" width="9.109999656677246" hidden="0" customWidth="1"/>
    <x:col min="8" max="8" width="13.109999656677246" hidden="0" customWidth="1"/>
    <x:col min="9" max="9" width="13.779999732971191" hidden="0" customWidth="1"/>
    <x:col min="10" max="10" width="12.220000267028809" hidden="0" customWidth="1"/>
    <x:col min="11" max="11" width="12.4399995803833" hidden="0" customWidth="1"/>
    <x:col min="12" max="12" width="12.890000343322754" hidden="0" customWidth="1"/>
    <x:col min="13" max="13" width="12.890000343322754" hidden="0" customWidth="1"/>
  </x:cols>
  <x:sheetData>
    <x:row r="1">
      <x:c r="A1" s="1" t="str">
        <x:v>机器换算_带回收</x:v>
      </x:c>
    </x:row>
    <x:row r="2">
      <x:c r="A2" s="2" t="str">
        <x:v>机器数是过程执行率的后处理：先解 LP，再除以单机执行率。</x:v>
      </x:c>
    </x:row>
    <x:row r="5">
      <x:c r="A5" s="8" t="str">
        <x:v>过程</x:v>
      </x:c>
      <x:c r="B5" s="8" t="str">
        <x:v>阶段</x:v>
      </x:c>
      <x:c r="C5" s="8" t="str">
        <x:v>基础耗时秒</x:v>
      </x:c>
      <x:c r="D5" s="8" t="str">
        <x:v>机器</x:v>
      </x:c>
      <x:c r="E5" s="8" t="str">
        <x:v>机器速度</x:v>
      </x:c>
      <x:c r="F5" s="8" t="str">
        <x:v>插件槽位</x:v>
      </x:c>
      <x:c r="G5" s="8" t="str">
        <x:v>速度系数</x:v>
      </x:c>
      <x:c r="H5" s="8" t="str">
        <x:v>单机执行率/分钟</x:v>
      </x:c>
      <x:c r="I5" s="8" t="str">
        <x:v>过程执行次数/分钟</x:v>
      </x:c>
      <x:c r="J5" s="8" t="str">
        <x:v>等效机器数</x:v>
      </x:c>
      <x:c r="K5" s="8" t="str">
        <x:v>向上取整机器数</x:v>
      </x:c>
      <x:c r="L5" s="8" t="str">
        <x:v>取整后容量/分钟</x:v>
      </x:c>
      <x:c r="M5" s="8" t="str">
        <x:v>容量余量/分钟</x:v>
      </x:c>
    </x:row>
    <x:row r="6">
      <x:c r="A6" s="4" t="str">
        <x:v>采铜矿</x:v>
      </x:c>
      <x:c r="B6" s="4" t="str">
        <x:v>采矿</x:v>
      </x:c>
      <x:c r="C6" s="9" t="n">
        <x:v>1</x:v>
      </x:c>
      <x:c r="D6" s="9" t="str">
        <x:v>电力采矿机</x:v>
      </x:c>
      <x:c r="E6" s="9" t="n">
        <x:v>0.5</x:v>
      </x:c>
      <x:c r="F6" s="9" t="n">
        <x:v>3</x:v>
      </x:c>
      <x:c r="G6" s="9" t="n">
        <x:f>1+F6*'参数'!$B$12</x:f>
        <x:v>0.85</x:v>
      </x:c>
      <x:c r="H6" s="9" t="n">
        <x:f>E6*G6*60/C6</x:f>
        <x:v>25.5</x:v>
      </x:c>
      <x:c r="I6" s="9" t="n">
        <x:f>'完整矩阵_带回收'!B$36</x:f>
        <x:v>9189.432979347</x:v>
      </x:c>
      <x:c r="J6" s="9" t="n">
        <x:f>IF(H6=0,0,I6/H6)</x:f>
        <x:v>360.3699207587059</x:v>
      </x:c>
      <x:c r="K6" s="9" t="n">
        <x:f>ROUNDUP(J6,0)</x:f>
        <x:v>361</x:v>
      </x:c>
      <x:c r="L6" s="9" t="n">
        <x:f>K6*H6</x:f>
        <x:v>9205.5</x:v>
      </x:c>
      <x:c r="M6" s="9" t="n">
        <x:f>L6-I6</x:f>
        <x:v>16.067020652999418</x:v>
      </x:c>
    </x:row>
    <x:row r="7">
      <x:c r="A7" s="4" t="str">
        <x:v>采铁矿</x:v>
      </x:c>
      <x:c r="B7" s="4" t="str">
        <x:v>采矿</x:v>
      </x:c>
      <x:c r="C7" s="9" t="n">
        <x:v>1</x:v>
      </x:c>
      <x:c r="D7" s="9" t="str">
        <x:v>电力采矿机</x:v>
      </x:c>
      <x:c r="E7" s="9" t="n">
        <x:v>0.5</x:v>
      </x:c>
      <x:c r="F7" s="9" t="n">
        <x:v>3</x:v>
      </x:c>
      <x:c r="G7" s="9" t="n">
        <x:f>1+F7*'参数'!$B$12</x:f>
        <x:v>0.85</x:v>
      </x:c>
      <x:c r="H7" s="9" t="n">
        <x:f>E7*G7*60/C7</x:f>
        <x:v>25.5</x:v>
      </x:c>
      <x:c r="I7" s="9" t="n">
        <x:f>'完整矩阵_带回收'!C$36</x:f>
        <x:v>7734.034889371</x:v>
      </x:c>
      <x:c r="J7" s="9" t="n">
        <x:f>IF(H7=0,0,I7/H7)</x:f>
        <x:v>303.2954858576863</x:v>
      </x:c>
      <x:c r="K7" s="9" t="n">
        <x:f>ROUNDUP(J7,0)</x:f>
        <x:v>304</x:v>
      </x:c>
      <x:c r="L7" s="9" t="n">
        <x:f>K7*H7</x:f>
        <x:v>7752</x:v>
      </x:c>
      <x:c r="M7" s="9" t="n">
        <x:f>L7-I7</x:f>
        <x:v>17.965110629000264</x:v>
      </x:c>
    </x:row>
    <x:row r="8">
      <x:c r="A8" s="4" t="str">
        <x:v>冶铜板@1</x:v>
      </x:c>
      <x:c r="B8" s="4" t="str">
        <x:v>冶炼</x:v>
      </x:c>
      <x:c r="C8" s="9" t="n">
        <x:v>3.2</x:v>
      </x:c>
      <x:c r="D8" s="9" t="str">
        <x:v>电炉</x:v>
      </x:c>
      <x:c r="E8" s="9" t="n">
        <x:v>2</x:v>
      </x:c>
      <x:c r="F8" s="9" t="n">
        <x:v>2</x:v>
      </x:c>
      <x:c r="G8" s="9" t="n">
        <x:f>1+F8*'参数'!$B$12</x:f>
        <x:v>0.9</x:v>
      </x:c>
      <x:c r="H8" s="9" t="n">
        <x:f>E8*G8*60/C8</x:f>
        <x:v>33.75</x:v>
      </x:c>
      <x:c r="I8" s="9" t="n">
        <x:f>'完整矩阵_带回收'!D$36</x:f>
        <x:v>7480.198445188</x:v>
      </x:c>
      <x:c r="J8" s="9" t="n">
        <x:f>IF(H8=0,0,I8/H8)</x:f>
        <x:v>221.63550948705185</x:v>
      </x:c>
      <x:c r="K8" s="9" t="n">
        <x:f>ROUNDUP(J8,0)</x:f>
        <x:v>222</x:v>
      </x:c>
      <x:c r="L8" s="9" t="n">
        <x:f>K8*H8</x:f>
        <x:v>7492.5</x:v>
      </x:c>
      <x:c r="M8" s="9" t="n">
        <x:f>L8-I8</x:f>
        <x:v>12.301554812000177</x:v>
      </x:c>
    </x:row>
    <x:row r="9">
      <x:c r="A9" s="4" t="str">
        <x:v>冶铜板@2</x:v>
      </x:c>
      <x:c r="B9" s="4" t="str">
        <x:v>冶炼</x:v>
      </x:c>
      <x:c r="C9" s="9" t="n">
        <x:v>3.2</x:v>
      </x:c>
      <x:c r="D9" s="9" t="str">
        <x:v>电炉</x:v>
      </x:c>
      <x:c r="E9" s="9" t="n">
        <x:v>2</x:v>
      </x:c>
      <x:c r="F9" s="9" t="n">
        <x:v>2</x:v>
      </x:c>
      <x:c r="G9" s="9" t="n">
        <x:f>1+F9*'参数'!$B$12</x:f>
        <x:v>0.9</x:v>
      </x:c>
      <x:c r="H9" s="9" t="n">
        <x:f>E9*G9*60/C9</x:f>
        <x:v>33.75</x:v>
      </x:c>
      <x:c r="I9" s="9" t="n">
        <x:f>'完整矩阵_带回收'!E$36</x:f>
        <x:v>1538.311080743</x:v>
      </x:c>
      <x:c r="J9" s="9" t="n">
        <x:f>IF(H9=0,0,I9/H9)</x:f>
        <x:v>45.57958757757037</x:v>
      </x:c>
      <x:c r="K9" s="9" t="n">
        <x:f>ROUNDUP(J9,0)</x:f>
        <x:v>46</x:v>
      </x:c>
      <x:c r="L9" s="9" t="n">
        <x:f>K9*H9</x:f>
        <x:v>1552.5</x:v>
      </x:c>
      <x:c r="M9" s="9" t="n">
        <x:f>L9-I9</x:f>
        <x:v>14.188919256999952</x:v>
      </x:c>
    </x:row>
    <x:row r="10">
      <x:c r="A10" s="4" t="str">
        <x:v>冶铜板@3</x:v>
      </x:c>
      <x:c r="B10" s="4" t="str">
        <x:v>冶炼</x:v>
      </x:c>
      <x:c r="C10" s="9" t="n">
        <x:v>3.2</x:v>
      </x:c>
      <x:c r="D10" s="9" t="str">
        <x:v>电炉</x:v>
      </x:c>
      <x:c r="E10" s="9" t="n">
        <x:v>2</x:v>
      </x:c>
      <x:c r="F10" s="9" t="n">
        <x:v>2</x:v>
      </x:c>
      <x:c r="G10" s="9" t="n">
        <x:f>1+F10*'参数'!$B$12</x:f>
        <x:v>0.9</x:v>
      </x:c>
      <x:c r="H10" s="9" t="n">
        <x:f>E10*G10*60/C10</x:f>
        <x:v>33.75</x:v>
      </x:c>
      <x:c r="I10" s="9" t="n">
        <x:f>'完整矩阵_带回收'!F$36</x:f>
        <x:v>153.831108074</x:v>
      </x:c>
      <x:c r="J10" s="9" t="n">
        <x:f>IF(H10=0,0,I10/H10)</x:f>
        <x:v>4.557958757748149</x:v>
      </x:c>
      <x:c r="K10" s="9" t="n">
        <x:f>ROUNDUP(J10,0)</x:f>
        <x:v>5</x:v>
      </x:c>
      <x:c r="L10" s="9" t="n">
        <x:f>K10*H10</x:f>
        <x:v>168.75</x:v>
      </x:c>
      <x:c r="M10" s="9" t="n">
        <x:f>L10-I10</x:f>
        <x:v>14.918891925999986</x:v>
      </x:c>
    </x:row>
    <x:row r="11">
      <x:c r="A11" s="4" t="str">
        <x:v>冶铜板@4</x:v>
      </x:c>
      <x:c r="B11" s="4" t="str">
        <x:v>冶炼</x:v>
      </x:c>
      <x:c r="C11" s="9" t="n">
        <x:v>3.2</x:v>
      </x:c>
      <x:c r="D11" s="9" t="str">
        <x:v>电炉</x:v>
      </x:c>
      <x:c r="E11" s="9" t="n">
        <x:v>2</x:v>
      </x:c>
      <x:c r="F11" s="9" t="n">
        <x:v>2</x:v>
      </x:c>
      <x:c r="G11" s="9" t="n">
        <x:f>1+F11*'参数'!$B$12</x:f>
        <x:v>0.9</x:v>
      </x:c>
      <x:c r="H11" s="9" t="n">
        <x:f>E11*G11*60/C11</x:f>
        <x:v>33.75</x:v>
      </x:c>
      <x:c r="I11" s="9" t="n">
        <x:f>'完整矩阵_带回收'!G$36</x:f>
        <x:v>15.383110807</x:v>
      </x:c>
      <x:c r="J11" s="9" t="n">
        <x:f>IF(H11=0,0,I11/H11)</x:f>
        <x:v>0.45579587576296293</x:v>
      </x:c>
      <x:c r="K11" s="9" t="n">
        <x:f>ROUNDUP(J11,0)</x:f>
        <x:v>1</x:v>
      </x:c>
      <x:c r="L11" s="9" t="n">
        <x:f>K11*H11</x:f>
        <x:v>33.75</x:v>
      </x:c>
      <x:c r="M11" s="9" t="n">
        <x:f>L11-I11</x:f>
        <x:v>18.366889193</x:v>
      </x:c>
    </x:row>
    <x:row r="12">
      <x:c r="A12" s="4" t="str">
        <x:v>冶铜板@5</x:v>
      </x:c>
      <x:c r="B12" s="4" t="str">
        <x:v>冶炼</x:v>
      </x:c>
      <x:c r="C12" s="9" t="n">
        <x:v>3.2</x:v>
      </x:c>
      <x:c r="D12" s="9" t="str">
        <x:v>电炉</x:v>
      </x:c>
      <x:c r="E12" s="9" t="n">
        <x:v>2</x:v>
      </x:c>
      <x:c r="F12" s="9" t="n">
        <x:v>2</x:v>
      </x:c>
      <x:c r="G12" s="9" t="n">
        <x:f>1+F12*'参数'!$B$12</x:f>
        <x:v>0.9</x:v>
      </x:c>
      <x:c r="H12" s="9" t="n">
        <x:f>E12*G12*60/C12</x:f>
        <x:v>33.75</x:v>
      </x:c>
      <x:c r="I12" s="9" t="n">
        <x:f>'完整矩阵_带回收'!H$36</x:f>
        <x:v>1.709234534</x:v>
      </x:c>
      <x:c r="J12" s="9" t="n">
        <x:f>IF(H12=0,0,I12/H12)</x:f>
        <x:v>0.05064398619259259</x:v>
      </x:c>
      <x:c r="K12" s="9" t="n">
        <x:f>ROUNDUP(J12,0)</x:f>
        <x:v>1</x:v>
      </x:c>
      <x:c r="L12" s="9" t="n">
        <x:f>K12*H12</x:f>
        <x:v>33.75</x:v>
      </x:c>
      <x:c r="M12" s="9" t="n">
        <x:f>L12-I12</x:f>
        <x:v>32.040765466</x:v>
      </x:c>
    </x:row>
    <x:row r="13">
      <x:c r="A13" s="4" t="str">
        <x:v>冶铁板@1</x:v>
      </x:c>
      <x:c r="B13" s="4" t="str">
        <x:v>冶炼</x:v>
      </x:c>
      <x:c r="C13" s="9" t="n">
        <x:v>3.2</x:v>
      </x:c>
      <x:c r="D13" s="9" t="str">
        <x:v>电炉</x:v>
      </x:c>
      <x:c r="E13" s="9" t="n">
        <x:v>2</x:v>
      </x:c>
      <x:c r="F13" s="9" t="n">
        <x:v>2</x:v>
      </x:c>
      <x:c r="G13" s="9" t="n">
        <x:f>1+F13*'参数'!$B$12</x:f>
        <x:v>0.9</x:v>
      </x:c>
      <x:c r="H13" s="9" t="n">
        <x:f>E13*G13*60/C13</x:f>
        <x:v>33.75</x:v>
      </x:c>
      <x:c r="I13" s="9" t="n">
        <x:f>'完整矩阵_带回收'!I$36</x:f>
        <x:v>6295.504399948</x:v>
      </x:c>
      <x:c r="J13" s="9" t="n">
        <x:f>IF(H13=0,0,I13/H13)</x:f>
        <x:v>186.53346370216298</x:v>
      </x:c>
      <x:c r="K13" s="9" t="n">
        <x:f>ROUNDUP(J13,0)</x:f>
        <x:v>187</x:v>
      </x:c>
      <x:c r="L13" s="9" t="n">
        <x:f>K13*H13</x:f>
        <x:v>6311.25</x:v>
      </x:c>
      <x:c r="M13" s="9" t="n">
        <x:f>L13-I13</x:f>
        <x:v>15.745600051999645</x:v>
      </x:c>
    </x:row>
    <x:row r="14">
      <x:c r="A14" s="4" t="str">
        <x:v>冶铁板@2</x:v>
      </x:c>
      <x:c r="B14" s="4" t="str">
        <x:v>冶炼</x:v>
      </x:c>
      <x:c r="C14" s="9" t="n">
        <x:v>3.2</x:v>
      </x:c>
      <x:c r="D14" s="9" t="str">
        <x:v>电炉</x:v>
      </x:c>
      <x:c r="E14" s="9" t="n">
        <x:v>2</x:v>
      </x:c>
      <x:c r="F14" s="9" t="n">
        <x:v>2</x:v>
      </x:c>
      <x:c r="G14" s="9" t="n">
        <x:f>1+F14*'参数'!$B$12</x:f>
        <x:v>0.9</x:v>
      </x:c>
      <x:c r="H14" s="9" t="n">
        <x:f>E14*G14*60/C14</x:f>
        <x:v>33.75</x:v>
      </x:c>
      <x:c r="I14" s="9" t="n">
        <x:f>'完整矩阵_带回收'!J$36</x:f>
        <x:v>1294.677440481</x:v>
      </x:c>
      <x:c r="J14" s="9" t="n">
        <x:f>IF(H14=0,0,I14/H14)</x:f>
        <x:v>38.36081305128889</x:v>
      </x:c>
      <x:c r="K14" s="9" t="n">
        <x:f>ROUNDUP(J14,0)</x:f>
        <x:v>39</x:v>
      </x:c>
      <x:c r="L14" s="9" t="n">
        <x:f>K14*H14</x:f>
        <x:v>1316.25</x:v>
      </x:c>
      <x:c r="M14" s="9" t="n">
        <x:f>L14-I14</x:f>
        <x:v>21.572559518999924</x:v>
      </x:c>
    </x:row>
    <x:row r="15">
      <x:c r="A15" s="4" t="str">
        <x:v>冶铁板@3</x:v>
      </x:c>
      <x:c r="B15" s="4" t="str">
        <x:v>冶炼</x:v>
      </x:c>
      <x:c r="C15" s="9" t="n">
        <x:v>3.2</x:v>
      </x:c>
      <x:c r="D15" s="9" t="str">
        <x:v>电炉</x:v>
      </x:c>
      <x:c r="E15" s="9" t="n">
        <x:v>2</x:v>
      </x:c>
      <x:c r="F15" s="9" t="n">
        <x:v>2</x:v>
      </x:c>
      <x:c r="G15" s="9" t="n">
        <x:f>1+F15*'参数'!$B$12</x:f>
        <x:v>0.9</x:v>
      </x:c>
      <x:c r="H15" s="9" t="n">
        <x:f>E15*G15*60/C15</x:f>
        <x:v>33.75</x:v>
      </x:c>
      <x:c r="I15" s="9" t="n">
        <x:f>'完整矩阵_带回收'!K$36</x:f>
        <x:v>129.467744048</x:v>
      </x:c>
      <x:c r="J15" s="9" t="n">
        <x:f>IF(H15=0,0,I15/H15)</x:f>
        <x:v>3.8360813051259255</x:v>
      </x:c>
      <x:c r="K15" s="9" t="n">
        <x:f>ROUNDUP(J15,0)</x:f>
        <x:v>4</x:v>
      </x:c>
      <x:c r="L15" s="9" t="n">
        <x:f>K15*H15</x:f>
        <x:v>135</x:v>
      </x:c>
      <x:c r="M15" s="9" t="n">
        <x:f>L15-I15</x:f>
        <x:v>5.532255952000014</x:v>
      </x:c>
    </x:row>
    <x:row r="16">
      <x:c r="A16" s="4" t="str">
        <x:v>冶铁板@4</x:v>
      </x:c>
      <x:c r="B16" s="4" t="str">
        <x:v>冶炼</x:v>
      </x:c>
      <x:c r="C16" s="9" t="n">
        <x:v>3.2</x:v>
      </x:c>
      <x:c r="D16" s="9" t="str">
        <x:v>电炉</x:v>
      </x:c>
      <x:c r="E16" s="9" t="n">
        <x:v>2</x:v>
      </x:c>
      <x:c r="F16" s="9" t="n">
        <x:v>2</x:v>
      </x:c>
      <x:c r="G16" s="9" t="n">
        <x:f>1+F16*'参数'!$B$12</x:f>
        <x:v>0.9</x:v>
      </x:c>
      <x:c r="H16" s="9" t="n">
        <x:f>E16*G16*60/C16</x:f>
        <x:v>33.75</x:v>
      </x:c>
      <x:c r="I16" s="9" t="n">
        <x:f>'完整矩阵_带回收'!L$36</x:f>
        <x:v>0</x:v>
      </x:c>
      <x:c r="J16" s="9" t="n">
        <x:f>IF(H16=0,0,I16/H16)</x:f>
        <x:v>0</x:v>
      </x:c>
      <x:c r="K16" s="9" t="n">
        <x:f>ROUNDUP(J16,0)</x:f>
        <x:v>0</x:v>
      </x:c>
      <x:c r="L16" s="9" t="n">
        <x:f>K16*H16</x:f>
        <x:v>0</x:v>
      </x:c>
      <x:c r="M16" s="9" t="n">
        <x:f>L16-I16</x:f>
        <x:v>0</x:v>
      </x:c>
    </x:row>
    <x:row r="17">
      <x:c r="A17" s="4" t="str">
        <x:v>冶铁板@5</x:v>
      </x:c>
      <x:c r="B17" s="4" t="str">
        <x:v>冶炼</x:v>
      </x:c>
      <x:c r="C17" s="9" t="n">
        <x:v>3.2</x:v>
      </x:c>
      <x:c r="D17" s="9" t="str">
        <x:v>电炉</x:v>
      </x:c>
      <x:c r="E17" s="9" t="n">
        <x:v>2</x:v>
      </x:c>
      <x:c r="F17" s="9" t="n">
        <x:v>2</x:v>
      </x:c>
      <x:c r="G17" s="9" t="n">
        <x:f>1+F17*'参数'!$B$12</x:f>
        <x:v>0.9</x:v>
      </x:c>
      <x:c r="H17" s="9" t="n">
        <x:f>E17*G17*60/C17</x:f>
        <x:v>33.75</x:v>
      </x:c>
      <x:c r="I17" s="9" t="n">
        <x:f>'完整矩阵_带回收'!M$36</x:f>
        <x:v>0</x:v>
      </x:c>
      <x:c r="J17" s="9" t="n">
        <x:f>IF(H17=0,0,I17/H17)</x:f>
        <x:v>0</x:v>
      </x:c>
      <x:c r="K17" s="9" t="n">
        <x:f>ROUNDUP(J17,0)</x:f>
        <x:v>0</x:v>
      </x:c>
      <x:c r="L17" s="9" t="n">
        <x:f>K17*H17</x:f>
        <x:v>0</x:v>
      </x:c>
      <x:c r="M17" s="9" t="n">
        <x:f>L17-I17</x:f>
        <x:v>0</x:v>
      </x:c>
    </x:row>
    <x:row r="18">
      <x:c r="A18" s="4" t="str">
        <x:v>造齿轮@1</x:v>
      </x:c>
      <x:c r="B18" s="4" t="str">
        <x:v>组装</x:v>
      </x:c>
      <x:c r="C18" s="9" t="n">
        <x:v>0.5</x:v>
      </x:c>
      <x:c r="D18" s="9" t="str">
        <x:v>组装机 3 型</x:v>
      </x:c>
      <x:c r="E18" s="9" t="n">
        <x:v>1.25</x:v>
      </x:c>
      <x:c r="F18" s="9" t="n">
        <x:v>4</x:v>
      </x:c>
      <x:c r="G18" s="9" t="n">
        <x:f>1+F18*'参数'!$B$12</x:f>
        <x:v>0.8</x:v>
      </x:c>
      <x:c r="H18" s="9" t="n">
        <x:f>E18*G18*60/C18</x:f>
        <x:v>120</x:v>
      </x:c>
      <x:c r="I18" s="9" t="n">
        <x:f>'完整矩阵_带回收'!N$36</x:f>
        <x:v>2757.430927177</x:v>
      </x:c>
      <x:c r="J18" s="9" t="n">
        <x:f>IF(H18=0,0,I18/H18)</x:f>
        <x:v>22.97859105980833</x:v>
      </x:c>
      <x:c r="K18" s="9" t="n">
        <x:f>ROUNDUP(J18,0)</x:f>
        <x:v>23</x:v>
      </x:c>
      <x:c r="L18" s="9" t="n">
        <x:f>K18*H18</x:f>
        <x:v>2760</x:v>
      </x:c>
      <x:c r="M18" s="9" t="n">
        <x:f>L18-I18</x:f>
        <x:v>2.5690728230001696</x:v>
      </x:c>
    </x:row>
    <x:row r="19">
      <x:c r="A19" s="4" t="str">
        <x:v>造齿轮@2</x:v>
      </x:c>
      <x:c r="B19" s="4" t="str">
        <x:v>组装</x:v>
      </x:c>
      <x:c r="C19" s="9" t="n">
        <x:v>0.5</x:v>
      </x:c>
      <x:c r="D19" s="9" t="str">
        <x:v>组装机 3 型</x:v>
      </x:c>
      <x:c r="E19" s="9" t="n">
        <x:v>1.25</x:v>
      </x:c>
      <x:c r="F19" s="9" t="n">
        <x:v>4</x:v>
      </x:c>
      <x:c r="G19" s="9" t="n">
        <x:f>1+F19*'参数'!$B$12</x:f>
        <x:v>0.8</x:v>
      </x:c>
      <x:c r="H19" s="9" t="n">
        <x:f>E19*G19*60/C19</x:f>
        <x:v>120</x:v>
      </x:c>
      <x:c r="I19" s="9" t="n">
        <x:f>'完整矩阵_带回收'!O$36</x:f>
        <x:v>918.357864448</x:v>
      </x:c>
      <x:c r="J19" s="9" t="n">
        <x:f>IF(H19=0,0,I19/H19)</x:f>
        <x:v>7.652982203733333</x:v>
      </x:c>
      <x:c r="K19" s="9" t="n">
        <x:f>ROUNDUP(J19,0)</x:f>
        <x:v>8</x:v>
      </x:c>
      <x:c r="L19" s="9" t="n">
        <x:f>K19*H19</x:f>
        <x:v>960</x:v>
      </x:c>
      <x:c r="M19" s="9" t="n">
        <x:f>L19-I19</x:f>
        <x:v>41.64213555200001</x:v>
      </x:c>
    </x:row>
    <x:row r="20">
      <x:c r="A20" s="4" t="str">
        <x:v>造齿轮@3</x:v>
      </x:c>
      <x:c r="B20" s="4" t="str">
        <x:v>组装</x:v>
      </x:c>
      <x:c r="C20" s="9" t="n">
        <x:v>0.5</x:v>
      </x:c>
      <x:c r="D20" s="9" t="str">
        <x:v>组装机 3 型</x:v>
      </x:c>
      <x:c r="E20" s="9" t="n">
        <x:v>1.25</x:v>
      </x:c>
      <x:c r="F20" s="9" t="n">
        <x:v>4</x:v>
      </x:c>
      <x:c r="G20" s="9" t="n">
        <x:f>1+F20*'参数'!$B$12</x:f>
        <x:v>0.8</x:v>
      </x:c>
      <x:c r="H20" s="9" t="n">
        <x:f>E20*G20*60/C20</x:f>
        <x:v>120</x:v>
      </x:c>
      <x:c r="I20" s="9" t="n">
        <x:f>'完整矩阵_带回收'!P$36</x:f>
        <x:v>164.078787624</x:v>
      </x:c>
      <x:c r="J20" s="9" t="n">
        <x:f>IF(H20=0,0,I20/H20)</x:f>
        <x:v>1.3673232302</x:v>
      </x:c>
      <x:c r="K20" s="9" t="n">
        <x:f>ROUNDUP(J20,0)</x:f>
        <x:v>2</x:v>
      </x:c>
      <x:c r="L20" s="9" t="n">
        <x:f>K20*H20</x:f>
        <x:v>240</x:v>
      </x:c>
      <x:c r="M20" s="9" t="n">
        <x:f>L20-I20</x:f>
        <x:v>75.921212376</x:v>
      </x:c>
    </x:row>
    <x:row r="21">
      <x:c r="A21" s="4" t="str">
        <x:v>造齿轮@4</x:v>
      </x:c>
      <x:c r="B21" s="4" t="str">
        <x:v>组装</x:v>
      </x:c>
      <x:c r="C21" s="9" t="n">
        <x:v>0.5</x:v>
      </x:c>
      <x:c r="D21" s="9" t="str">
        <x:v>组装机 3 型</x:v>
      </x:c>
      <x:c r="E21" s="9" t="n">
        <x:v>1.25</x:v>
      </x:c>
      <x:c r="F21" s="9" t="n">
        <x:v>4</x:v>
      </x:c>
      <x:c r="G21" s="9" t="n">
        <x:f>1+F21*'参数'!$B$12</x:f>
        <x:v>0.8</x:v>
      </x:c>
      <x:c r="H21" s="9" t="n">
        <x:f>E21*G21*60/C21</x:f>
        <x:v>120</x:v>
      </x:c>
      <x:c r="I21" s="9" t="n">
        <x:f>'完整矩阵_带回收'!Q$36</x:f>
        <x:v>0</x:v>
      </x:c>
      <x:c r="J21" s="9" t="n">
        <x:f>IF(H21=0,0,I21/H21)</x:f>
        <x:v>0</x:v>
      </x:c>
      <x:c r="K21" s="9" t="n">
        <x:f>ROUNDUP(J21,0)</x:f>
        <x:v>0</x:v>
      </x:c>
      <x:c r="L21" s="9" t="n">
        <x:f>K21*H21</x:f>
        <x:v>0</x:v>
      </x:c>
      <x:c r="M21" s="9" t="n">
        <x:f>L21-I21</x:f>
        <x:v>0</x:v>
      </x:c>
    </x:row>
    <x:row r="22">
      <x:c r="A22" s="4" t="str">
        <x:v>造齿轮@5</x:v>
      </x:c>
      <x:c r="B22" s="4" t="str">
        <x:v>组装</x:v>
      </x:c>
      <x:c r="C22" s="9" t="n">
        <x:v>0.5</x:v>
      </x:c>
      <x:c r="D22" s="9" t="str">
        <x:v>组装机 3 型</x:v>
      </x:c>
      <x:c r="E22" s="9" t="n">
        <x:v>1.25</x:v>
      </x:c>
      <x:c r="F22" s="9" t="n">
        <x:v>4</x:v>
      </x:c>
      <x:c r="G22" s="9" t="n">
        <x:f>1+F22*'参数'!$B$12</x:f>
        <x:v>0.8</x:v>
      </x:c>
      <x:c r="H22" s="9" t="n">
        <x:f>E22*G22*60/C22</x:f>
        <x:v>120</x:v>
      </x:c>
      <x:c r="I22" s="9" t="n">
        <x:f>'完整矩阵_带回收'!R$36</x:f>
        <x:v>1.328772055</x:v>
      </x:c>
      <x:c r="J22" s="9" t="n">
        <x:f>IF(H22=0,0,I22/H22)</x:f>
        <x:v>0.011073100458333334</x:v>
      </x:c>
      <x:c r="K22" s="9" t="n">
        <x:f>ROUNDUP(J22,0)</x:f>
        <x:v>1</x:v>
      </x:c>
      <x:c r="L22" s="9" t="n">
        <x:f>K22*H22</x:f>
        <x:v>120</x:v>
      </x:c>
      <x:c r="M22" s="9" t="n">
        <x:f>L22-I22</x:f>
        <x:v>118.671227945</x:v>
      </x:c>
    </x:row>
    <x:row r="23">
      <x:c r="A23" s="4" t="str">
        <x:v>造红瓶@1</x:v>
      </x:c>
      <x:c r="B23" s="4" t="str">
        <x:v>组装</x:v>
      </x:c>
      <x:c r="C23" s="9" t="n">
        <x:v>5</x:v>
      </x:c>
      <x:c r="D23" s="9" t="str">
        <x:v>组装机 3 型</x:v>
      </x:c>
      <x:c r="E23" s="9" t="n">
        <x:v>1.25</x:v>
      </x:c>
      <x:c r="F23" s="9" t="n">
        <x:v>4</x:v>
      </x:c>
      <x:c r="G23" s="9" t="n">
        <x:f>1+F23*'参数'!$B$12</x:f>
        <x:v>0.8</x:v>
      </x:c>
      <x:c r="H23" s="9" t="n">
        <x:f>E23*G23*60/C23</x:f>
        <x:v>12</x:v>
      </x:c>
      <x:c r="I23" s="9" t="n">
        <x:f>'完整矩阵_带回收'!S$36</x:f>
        <x:v>2073.588057237</x:v>
      </x:c>
      <x:c r="J23" s="9" t="n">
        <x:f>IF(H23=0,0,I23/H23)</x:f>
        <x:v>172.79900476975</x:v>
      </x:c>
      <x:c r="K23" s="9" t="n">
        <x:f>ROUNDUP(J23,0)</x:f>
        <x:v>173</x:v>
      </x:c>
      <x:c r="L23" s="9" t="n">
        <x:f>K23*H23</x:f>
        <x:v>2076</x:v>
      </x:c>
      <x:c r="M23" s="9" t="n">
        <x:f>L23-I23</x:f>
        <x:v>2.4119427629998427</x:v>
      </x:c>
    </x:row>
    <x:row r="24">
      <x:c r="A24" s="4" t="str">
        <x:v>造红瓶@2</x:v>
      </x:c>
      <x:c r="B24" s="4" t="str">
        <x:v>组装</x:v>
      </x:c>
      <x:c r="C24" s="9" t="n">
        <x:v>5</x:v>
      </x:c>
      <x:c r="D24" s="9" t="str">
        <x:v>组装机 3 型</x:v>
      </x:c>
      <x:c r="E24" s="9" t="n">
        <x:v>1.25</x:v>
      </x:c>
      <x:c r="F24" s="9" t="n">
        <x:v>4</x:v>
      </x:c>
      <x:c r="G24" s="9" t="n">
        <x:f>1+F24*'参数'!$B$12</x:f>
        <x:v>0.8</x:v>
      </x:c>
      <x:c r="H24" s="9" t="n">
        <x:f>E24*G24*60/C24</x:f>
        <x:v>12</x:v>
      </x:c>
      <x:c r="I24" s="9" t="n">
        <x:f>'完整矩阵_带回收'!T$36</x:f>
        <x:v>1306.063697011</x:v>
      </x:c>
      <x:c r="J24" s="9" t="n">
        <x:f>IF(H24=0,0,I24/H24)</x:f>
        <x:v>108.83864141758333</x:v>
      </x:c>
      <x:c r="K24" s="9" t="n">
        <x:f>ROUNDUP(J24,0)</x:f>
        <x:v>109</x:v>
      </x:c>
      <x:c r="L24" s="9" t="n">
        <x:f>K24*H24</x:f>
        <x:v>1308</x:v>
      </x:c>
      <x:c r="M24" s="9" t="n">
        <x:f>L24-I24</x:f>
        <x:v>1.936302989000069</x:v>
      </x:c>
    </x:row>
    <x:row r="25">
      <x:c r="A25" s="4" t="str">
        <x:v>造红瓶@3</x:v>
      </x:c>
      <x:c r="B25" s="4" t="str">
        <x:v>组装</x:v>
      </x:c>
      <x:c r="C25" s="9" t="n">
        <x:v>5</x:v>
      </x:c>
      <x:c r="D25" s="9" t="str">
        <x:v>组装机 3 型</x:v>
      </x:c>
      <x:c r="E25" s="9" t="n">
        <x:v>1.25</x:v>
      </x:c>
      <x:c r="F25" s="9" t="n">
        <x:v>4</x:v>
      </x:c>
      <x:c r="G25" s="9" t="n">
        <x:f>1+F25*'参数'!$B$12</x:f>
        <x:v>0.8</x:v>
      </x:c>
      <x:c r="H25" s="9" t="n">
        <x:f>E25*G25*60/C25</x:f>
        <x:v>12</x:v>
      </x:c>
      <x:c r="I25" s="9" t="n">
        <x:f>'完整矩阵_带回收'!U$36</x:f>
        <x:v>389.910581932</x:v>
      </x:c>
      <x:c r="J25" s="9" t="n">
        <x:f>IF(H25=0,0,I25/H25)</x:f>
        <x:v>32.492548494333334</x:v>
      </x:c>
      <x:c r="K25" s="9" t="n">
        <x:f>ROUNDUP(J25,0)</x:f>
        <x:v>33</x:v>
      </x:c>
      <x:c r="L25" s="9" t="n">
        <x:f>K25*H25</x:f>
        <x:v>396</x:v>
      </x:c>
      <x:c r="M25" s="9" t="n">
        <x:f>L25-I25</x:f>
        <x:v>6.089418067999986</x:v>
      </x:c>
    </x:row>
    <x:row r="26">
      <x:c r="A26" s="4" t="str">
        <x:v>造红瓶@4</x:v>
      </x:c>
      <x:c r="B26" s="4" t="str">
        <x:v>组装</x:v>
      </x:c>
      <x:c r="C26" s="9" t="n">
        <x:v>5</x:v>
      </x:c>
      <x:c r="D26" s="9" t="str">
        <x:v>组装机 3 型</x:v>
      </x:c>
      <x:c r="E26" s="9" t="n">
        <x:v>1.25</x:v>
      </x:c>
      <x:c r="F26" s="9" t="n">
        <x:v>4</x:v>
      </x:c>
      <x:c r="G26" s="9" t="n">
        <x:f>1+F26*'参数'!$B$12</x:f>
        <x:v>0.8</x:v>
      </x:c>
      <x:c r="H26" s="9" t="n">
        <x:f>E26*G26*60/C26</x:f>
        <x:v>12</x:v>
      </x:c>
      <x:c r="I26" s="9" t="n">
        <x:f>'完整矩阵_带回收'!V$36</x:f>
        <x:v>56.158609854</x:v>
      </x:c>
      <x:c r="J26" s="9" t="n">
        <x:f>IF(H26=0,0,I26/H26)</x:f>
        <x:v>4.6798841545</x:v>
      </x:c>
      <x:c r="K26" s="9" t="n">
        <x:f>ROUNDUP(J26,0)</x:f>
        <x:v>5</x:v>
      </x:c>
      <x:c r="L26" s="9" t="n">
        <x:f>K26*H26</x:f>
        <x:v>60</x:v>
      </x:c>
      <x:c r="M26" s="9" t="n">
        <x:f>L26-I26</x:f>
        <x:v>3.841390146000002</x:v>
      </x:c>
    </x:row>
    <x:row r="27">
      <x:c r="A27" s="4" t="str">
        <x:v>造红瓶@5</x:v>
      </x:c>
      <x:c r="B27" s="4" t="str">
        <x:v>组装</x:v>
      </x:c>
      <x:c r="C27" s="9" t="n">
        <x:v>5</x:v>
      </x:c>
      <x:c r="D27" s="9" t="str">
        <x:v>组装机 3 型</x:v>
      </x:c>
      <x:c r="E27" s="9" t="n">
        <x:v>1.25</x:v>
      </x:c>
      <x:c r="F27" s="9" t="n">
        <x:v>4</x:v>
      </x:c>
      <x:c r="G27" s="9" t="n">
        <x:f>1+F27*'参数'!$B$12</x:f>
        <x:v>0.8</x:v>
      </x:c>
      <x:c r="H27" s="9" t="n">
        <x:f>E27*G27*60/C27</x:f>
        <x:v>12</x:v>
      </x:c>
      <x:c r="I27" s="9" t="n">
        <x:f>'完整矩阵_带回收'!W$36</x:f>
        <x:v>8.359296362</x:v>
      </x:c>
      <x:c r="J27" s="9" t="n">
        <x:f>IF(H27=0,0,I27/H27)</x:f>
        <x:v>0.6966080301666667</x:v>
      </x:c>
      <x:c r="K27" s="9" t="n">
        <x:f>ROUNDUP(J27,0)</x:f>
        <x:v>1</x:v>
      </x:c>
      <x:c r="L27" s="9" t="n">
        <x:f>K27*H27</x:f>
        <x:v>12</x:v>
      </x:c>
      <x:c r="M27" s="9" t="n">
        <x:f>L27-I27</x:f>
        <x:v>3.6407036379999997</x:v>
      </x:c>
    </x:row>
    <x:row r="28">
      <x:c r="A28" s="4" t="str">
        <x:v>回收红瓶@1</x:v>
      </x:c>
      <x:c r="B28" s="4" t="str">
        <x:v>回收</x:v>
      </x:c>
      <x:c r="C28" s="9" t="n">
        <x:v>0.3125</x:v>
      </x:c>
      <x:c r="D28" s="9" t="str">
        <x:v>回收机</x:v>
      </x:c>
      <x:c r="E28" s="9" t="n">
        <x:v>0.5</x:v>
      </x:c>
      <x:c r="F28" s="9" t="n">
        <x:v>4</x:v>
      </x:c>
      <x:c r="G28" s="9" t="n">
        <x:f>1+F28*'参数'!$B$12</x:f>
        <x:v>0.8</x:v>
      </x:c>
      <x:c r="H28" s="9" t="n">
        <x:f>E28*G28*60/C28</x:f>
        <x:v>76.8</x:v>
      </x:c>
      <x:c r="I28" s="9" t="n">
        <x:f>'完整矩阵_带回收'!X$36</x:f>
        <x:v>1920.367264831</x:v>
      </x:c>
      <x:c r="J28" s="9" t="n">
        <x:f>IF(H28=0,0,I28/H28)</x:f>
        <x:v>25.004782094153647</x:v>
      </x:c>
      <x:c r="K28" s="9" t="n">
        <x:f>ROUNDUP(J28,0)</x:f>
        <x:v>26</x:v>
      </x:c>
      <x:c r="L28" s="9" t="n">
        <x:f>K28*H28</x:f>
        <x:v>1996.8</x:v>
      </x:c>
      <x:c r="M28" s="9" t="n">
        <x:f>L28-I28</x:f>
        <x:v>76.4327351689999</x:v>
      </x:c>
    </x:row>
    <x:row r="29">
      <x:c r="A29" s="4" t="str">
        <x:v>回收红瓶@2</x:v>
      </x:c>
      <x:c r="B29" s="4" t="str">
        <x:v>回收</x:v>
      </x:c>
      <x:c r="C29" s="9" t="n">
        <x:v>0.3125</x:v>
      </x:c>
      <x:c r="D29" s="9" t="str">
        <x:v>回收机</x:v>
      </x:c>
      <x:c r="E29" s="9" t="n">
        <x:v>0.5</x:v>
      </x:c>
      <x:c r="F29" s="9" t="n">
        <x:v>4</x:v>
      </x:c>
      <x:c r="G29" s="9" t="n">
        <x:f>1+F29*'参数'!$B$12</x:f>
        <x:v>0.8</x:v>
      </x:c>
      <x:c r="H29" s="9" t="n">
        <x:f>E29*G29*60/C29</x:f>
        <x:v>76.8</x:v>
      </x:c>
      <x:c r="I29" s="9" t="n">
        <x:f>'完整矩阵_带回收'!Y$36</x:f>
        <x:v>1911.503999883</x:v>
      </x:c>
      <x:c r="J29" s="9" t="n">
        <x:f>IF(H29=0,0,I29/H29)</x:f>
        <x:v>24.889374998476562</x:v>
      </x:c>
      <x:c r="K29" s="9" t="n">
        <x:f>ROUNDUP(J29,0)</x:f>
        <x:v>25</x:v>
      </x:c>
      <x:c r="L29" s="9" t="n">
        <x:f>K29*H29</x:f>
        <x:v>1920</x:v>
      </x:c>
      <x:c r="M29" s="9" t="n">
        <x:f>L29-I29</x:f>
        <x:v>8.496000116999994</x:v>
      </x:c>
    </x:row>
    <x:row r="30">
      <x:c r="A30" s="4" t="str">
        <x:v>回收红瓶@3</x:v>
      </x:c>
      <x:c r="B30" s="4" t="str">
        <x:v>回收</x:v>
      </x:c>
      <x:c r="C30" s="9" t="n">
        <x:v>0.3125</x:v>
      </x:c>
      <x:c r="D30" s="9" t="str">
        <x:v>回收机</x:v>
      </x:c>
      <x:c r="E30" s="9" t="n">
        <x:v>0.5</x:v>
      </x:c>
      <x:c r="F30" s="9" t="n">
        <x:v>4</x:v>
      </x:c>
      <x:c r="G30" s="9" t="n">
        <x:f>1+F30*'参数'!$B$12</x:f>
        <x:v>0.8</x:v>
      </x:c>
      <x:c r="H30" s="9" t="n">
        <x:f>E30*G30*60/C30</x:f>
        <x:v>76.8</x:v>
      </x:c>
      <x:c r="I30" s="9" t="n">
        <x:f>'完整矩阵_带回收'!Z$36</x:f>
        <x:v>921.657922112</x:v>
      </x:c>
      <x:c r="J30" s="9" t="n">
        <x:f>IF(H30=0,0,I30/H30)</x:f>
        <x:v>12.000754194166667</x:v>
      </x:c>
      <x:c r="K30" s="9" t="n">
        <x:f>ROUNDUP(J30,0)</x:f>
        <x:v>13</x:v>
      </x:c>
      <x:c r="L30" s="9" t="n">
        <x:f>K30*H30</x:f>
        <x:v>998.4</x:v>
      </x:c>
      <x:c r="M30" s="9" t="n">
        <x:f>L30-I30</x:f>
        <x:v>76.74207788799993</x:v>
      </x:c>
    </x:row>
    <x:row r="31">
      <x:c r="A31" s="4" t="str">
        <x:v>回收红瓶@4</x:v>
      </x:c>
      <x:c r="B31" s="4" t="str">
        <x:v>回收</x:v>
      </x:c>
      <x:c r="C31" s="9" t="n">
        <x:v>0.3125</x:v>
      </x:c>
      <x:c r="D31" s="9" t="str">
        <x:v>回收机</x:v>
      </x:c>
      <x:c r="E31" s="9" t="n">
        <x:v>0.5</x:v>
      </x:c>
      <x:c r="F31" s="9" t="n">
        <x:v>4</x:v>
      </x:c>
      <x:c r="G31" s="9" t="n">
        <x:f>1+F31*'参数'!$B$12</x:f>
        <x:v>0.8</x:v>
      </x:c>
      <x:c r="H31" s="9" t="n">
        <x:f>E31*G31*60/C31</x:f>
        <x:v>76.8</x:v>
      </x:c>
      <x:c r="I31" s="9" t="n">
        <x:f>'完整矩阵_带回收'!AA$36</x:f>
        <x:v>278.577803037</x:v>
      </x:c>
      <x:c r="J31" s="9" t="n">
        <x:f>IF(H31=0,0,I31/H31)</x:f>
        <x:v>3.627315143710938</x:v>
      </x:c>
      <x:c r="K31" s="9" t="n">
        <x:f>ROUNDUP(J31,0)</x:f>
        <x:v>4</x:v>
      </x:c>
      <x:c r="L31" s="9" t="n">
        <x:f>K31*H31</x:f>
        <x:v>307.2</x:v>
      </x:c>
      <x:c r="M31" s="9" t="n">
        <x:f>L31-I31</x:f>
        <x:v>28.622196962999965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6.670000076293945" hidden="0" customWidth="1"/>
    <x:col min="3" max="3" width="8.890000343322754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8.670000076293945" hidden="0" customWidth="1"/>
    <x:col min="9" max="9" width="40" hidden="0" customWidth="1"/>
  </x:cols>
  <x:sheetData>
    <x:row r="1">
      <x:c r="A1" s="1" t="str">
        <x:v>校验总览</x:v>
      </x:c>
    </x:row>
    <x:row r="2">
      <x:c r="A2" s="2" t="str">
        <x:v>快速确认目标、短缺、源头执行率和机器换算结果。</x:v>
      </x:c>
    </x:row>
    <x:row r="5">
      <x:c r="A5" s="8" t="str">
        <x:v>场景</x:v>
      </x:c>
      <x:c r="B5" s="8" t="str">
        <x:v>主目标</x:v>
      </x:c>
      <x:c r="C5" s="8" t="str">
        <x:v>短缺数</x:v>
      </x:c>
      <x:c r="D5" s="8" t="str">
        <x:v>红瓶@5 平衡/min</x:v>
      </x:c>
      <x:c r="E5" s="8" t="str">
        <x:v>源头执行/min</x:v>
      </x:c>
      <x:c r="F5" s="8" t="str">
        <x:v>理论机器数</x:v>
      </x:c>
      <x:c r="G5" s="8" t="str">
        <x:v>取整机器数</x:v>
      </x:c>
      <x:c r="H5" s="8" t="str">
        <x:v>状态</x:v>
      </x:c>
      <x:c r="I5" s="8" t="str">
        <x:v>备注</x:v>
      </x:c>
    </x:row>
    <x:row r="6">
      <x:c r="A6" s="4" t="str">
        <x:v>无回收</x:v>
      </x:c>
      <x:c r="B6" s="4" t="str">
        <x:v>红瓶@5 &gt;= 60/min</x:v>
      </x:c>
      <x:c r="C6" s="9" t="n">
        <x:f>COUNTIF('完整矩阵_无回收'!AA5:AA34,"是")</x:f>
        <x:v>0</x:v>
      </x:c>
      <x:c r="D6" s="9" t="n">
        <x:f>'完整矩阵_无回收'!Y34</x:f>
        <x:v>60.00000000013727</x:v>
      </x:c>
      <x:c r="E6" s="9" t="n">
        <x:f>SUM('机器换算_无回收'!I6:I7)</x:f>
        <x:v>27634.456600333</x:v>
      </x:c>
      <x:c r="F6" s="9" t="n">
        <x:f>SUM('机器换算_无回收'!J6:J27)</x:f>
        <x:v>2368.487887024311</x:v>
      </x:c>
      <x:c r="G6" s="9" t="n">
        <x:f>SUM('机器换算_无回收'!K6:K27)</x:f>
        <x:v>2379</x:v>
      </x:c>
      <x:c r="H6" s="4" t="str">
        <x:f>IF(AND(C6=0,D6&gt;=60),"通过","检查")</x:f>
        <x:v>通过</x:v>
      </x:c>
      <x:c r="I6" s="4" t="str">
        <x:v>低星红瓶允许剩余，不进入回收闭环。</x:v>
      </x:c>
    </x:row>
    <x:row r="7">
      <x:c r="A7" s="4" t="str">
        <x:v>带回收</x:v>
      </x:c>
      <x:c r="B7" s="4" t="str">
        <x:v>红瓶@5 &gt;= 60/min</x:v>
      </x:c>
      <x:c r="C7" s="9" t="n">
        <x:f>COUNTIF('完整矩阵_带回收'!AE5:AE34,"是")</x:f>
        <x:v>0</x:v>
      </x:c>
      <x:c r="D7" s="9" t="n">
        <x:f>'完整矩阵_带回收'!AC34</x:f>
        <x:v>60.00000000022304</x:v>
      </x:c>
      <x:c r="E7" s="9" t="n">
        <x:f>SUM('机器换算_带回收'!I6:I7)</x:f>
        <x:v>16923.467868718</x:v>
      </x:c>
      <x:c r="F7" s="9" t="n">
        <x:f>SUM('机器换算_带回收'!J6:J31)</x:f>
        <x:v>1581.7141432503374</x:v>
      </x:c>
      <x:c r="G7" s="9" t="n">
        <x:f>SUM('机器换算_带回收'!K6:K31)</x:f>
        <x:v>1593</x:v>
      </x:c>
      <x:c r="H7" s="4" t="str">
        <x:f>IF(AND(C7=0,D7&gt;=60),"通过","检查")</x:f>
        <x:v>通过</x:v>
      </x:c>
      <x:c r="I7" s="4" t="str">
        <x:v>红瓶@1..@4 进入回收闭环，回收列也参与矩阵守恒。</x:v>
      </x:c>
    </x:row>
    <x:row r="11">
      <x:c r="A11" s="8" t="str">
        <x:v>对比项</x:v>
      </x:c>
      <x:c r="B11" s="8" t="str">
        <x:v>数值</x:v>
      </x:c>
      <x:c r="C11" s="8" t="str">
        <x:v>说明</x:v>
      </x:c>
    </x:row>
    <x:row r="12">
      <x:c r="A12" s="4" t="str">
        <x:v>带回收减少源头执行/min</x:v>
      </x:c>
      <x:c r="B12" s="9" t="n">
        <x:f>E6-E7</x:f>
        <x:v>10710.988731615002</x:v>
      </x:c>
      <x:c r="C12" s="4" t="str">
        <x:v>无回收源头执行 - 带回收源头执行</x:v>
      </x:c>
    </x:row>
    <x:row r="13">
      <x:c r="A13" s="4" t="str">
        <x:v>带回收减少比例</x:v>
      </x:c>
      <x:c r="B13" s="10" t="n">
        <x:f>IF(E6=0,0,(E6-E7)/E6)</x:f>
        <x:v>0.38759541707384004</x:v>
      </x:c>
      <x:c r="C13" s="4" t="str">
        <x:v>减少源头执行 / 无回收源头执行</x:v>
      </x:c>
    </x:row>
    <x:row r="14">
      <x:c r="A14" s="4" t="str">
        <x:v>取整机器差异</x:v>
      </x:c>
      <x:c r="B14" s="12" t="n">
        <x:f>G6-G7</x:f>
        <x:v>786</x:v>
      </x:c>
      <x:c r="C14" s="4" t="str">
        <x:v>无回收取整机器数 - 带回收取整机器数</x:v>
      </x:c>
    </x:row>
    <x:row r="17">
      <x:c r="A17" s="4" t="str">
        <x:v>机器数解释</x:v>
      </x:c>
      <x:c r="B17" s="4" t="str">
        <x:v>本页机器数来自 LP 可行解的后处理，不等价于 MILP 求得的全局最小整数机器。</x:v>
      </x:c>
    </x:row>
    <x:row r="18">
      <x:c r="A18" s="4" t="str">
        <x:v>可用性解释</x:v>
      </x:c>
      <x:c r="B18" s="4" t="str">
        <x:v>状态为通过表示红瓶@5 达标且所有物料行无短缺；剩余不视为错误。</x:v>
      </x:c>
    </x:row>
  </x:sheetData>
  <x:pageMargins left="0.7" right="0.7" top="0.75" bottom="0.75" header="0.3" footer="0.3"/>
</x:worksheet>
</file>